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m1/Documents/Universidad/Octavo Semestre/TIC/Casos/Caso 2/"/>
    </mc:Choice>
  </mc:AlternateContent>
  <xr:revisionPtr revIDLastSave="0" documentId="8_{10756CAC-C5FB-2942-B487-0C7BD33E9088}" xr6:coauthVersionLast="47" xr6:coauthVersionMax="47" xr10:uidLastSave="{00000000-0000-0000-0000-000000000000}"/>
  <bookViews>
    <workbookView xWindow="160" yWindow="760" windowWidth="28480" windowHeight="17080" xr2:uid="{B28459B1-EEAC-4949-AB7D-049D0F6D9E74}"/>
  </bookViews>
  <sheets>
    <sheet name="resultados" sheetId="1" r:id="rId1"/>
  </sheets>
  <definedNames>
    <definedName name="_xlchart.v2.0" hidden="1">resultados!$J$75:$J$77</definedName>
    <definedName name="_xlchart.v2.1" hidden="1">resultados!$K$74</definedName>
    <definedName name="_xlchart.v2.2" hidden="1">resultados!$K$75:$K$77</definedName>
    <definedName name="_xlchart.v2.3" hidden="1">resultados!$L$74</definedName>
    <definedName name="_xlchart.v2.4" hidden="1">resultados!$L$75:$L$77</definedName>
    <definedName name="_xlchart.v2.5" hidden="1">resultados!$M$74</definedName>
    <definedName name="_xlchart.v2.6" hidden="1">resultados!$M$75:$M$77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8" i="1" l="1" a="1"/>
  <c r="K58" i="1" s="1"/>
  <c r="L58" i="1" a="1"/>
  <c r="L58" i="1"/>
  <c r="M58" i="1" a="1"/>
  <c r="M58" i="1" s="1"/>
  <c r="K59" i="1" a="1"/>
  <c r="K59" i="1" s="1"/>
  <c r="L59" i="1" a="1"/>
  <c r="L59" i="1" s="1"/>
  <c r="M59" i="1" a="1"/>
  <c r="M59" i="1" s="1"/>
  <c r="L57" i="1" a="1"/>
  <c r="L57" i="1" s="1"/>
  <c r="M57" i="1" a="1"/>
  <c r="M57" i="1" s="1"/>
  <c r="K76" i="1" a="1"/>
  <c r="K76" i="1" s="1"/>
  <c r="L76" i="1" a="1"/>
  <c r="L76" i="1" s="1"/>
  <c r="M76" i="1" a="1"/>
  <c r="M76" i="1" s="1"/>
  <c r="K77" i="1" a="1"/>
  <c r="K77" i="1" s="1"/>
  <c r="L77" i="1" a="1"/>
  <c r="L77" i="1" s="1"/>
  <c r="M77" i="1" a="1"/>
  <c r="M77" i="1" s="1"/>
  <c r="L75" i="1" a="1"/>
  <c r="L75" i="1" s="1"/>
  <c r="M75" i="1" a="1"/>
  <c r="M75" i="1" s="1"/>
  <c r="K66" i="1" a="1"/>
  <c r="K66" i="1" s="1"/>
  <c r="K75" i="1" a="1"/>
  <c r="K75" i="1" s="1"/>
  <c r="L66" i="1" a="1"/>
  <c r="L66" i="1" s="1"/>
  <c r="M66" i="1" a="1"/>
  <c r="M66" i="1" s="1"/>
  <c r="L67" i="1" a="1"/>
  <c r="L67" i="1" s="1"/>
  <c r="M67" i="1" a="1"/>
  <c r="M67" i="1" s="1"/>
  <c r="L68" i="1" a="1"/>
  <c r="L68" i="1" s="1"/>
  <c r="M68" i="1" a="1"/>
  <c r="M68" i="1" s="1"/>
  <c r="K67" i="1" a="1"/>
  <c r="K67" i="1" s="1"/>
  <c r="K68" i="1" a="1"/>
  <c r="K68" i="1" s="1"/>
  <c r="K57" i="1" a="1"/>
  <c r="K57" i="1" s="1"/>
  <c r="K48" i="1" a="1"/>
  <c r="K48" i="1" s="1"/>
  <c r="M50" i="1" a="1"/>
  <c r="M50" i="1" s="1"/>
  <c r="L50" i="1" a="1"/>
  <c r="L50" i="1" s="1"/>
  <c r="K50" i="1" a="1"/>
  <c r="K50" i="1" s="1"/>
  <c r="M49" i="1" a="1"/>
  <c r="M49" i="1" s="1"/>
  <c r="L49" i="1" a="1"/>
  <c r="L49" i="1" s="1"/>
  <c r="K49" i="1" a="1"/>
  <c r="K49" i="1" s="1"/>
  <c r="M48" i="1" a="1"/>
  <c r="M48" i="1" s="1"/>
  <c r="L48" i="1" a="1"/>
  <c r="L48" i="1" s="1"/>
  <c r="L39" i="1" a="1"/>
  <c r="L39" i="1" s="1"/>
  <c r="M39" i="1" a="1"/>
  <c r="M39" i="1" s="1"/>
  <c r="L40" i="1" a="1"/>
  <c r="L40" i="1" s="1"/>
  <c r="M40" i="1" a="1"/>
  <c r="M40" i="1" s="1"/>
  <c r="L41" i="1" a="1"/>
  <c r="L41" i="1" s="1"/>
  <c r="M41" i="1" a="1"/>
  <c r="M41" i="1" s="1"/>
  <c r="K40" i="1" a="1"/>
  <c r="K40" i="1" s="1"/>
  <c r="K41" i="1" a="1"/>
  <c r="K41" i="1" s="1"/>
  <c r="K39" i="1" a="1"/>
  <c r="K39" i="1" s="1"/>
  <c r="L30" i="1" a="1"/>
  <c r="L30" i="1" s="1"/>
  <c r="M30" i="1" a="1"/>
  <c r="M30" i="1"/>
  <c r="L31" i="1" a="1"/>
  <c r="L31" i="1" s="1"/>
  <c r="M31" i="1" a="1"/>
  <c r="M31" i="1"/>
  <c r="L32" i="1" a="1"/>
  <c r="L32" i="1" s="1"/>
  <c r="M32" i="1" a="1"/>
  <c r="M32" i="1"/>
  <c r="K31" i="1" a="1"/>
  <c r="K31" i="1" s="1"/>
  <c r="K32" i="1" a="1"/>
  <c r="K32" i="1" s="1"/>
  <c r="K30" i="1" a="1"/>
  <c r="K30" i="1" s="1"/>
  <c r="J21" i="1" a="1"/>
  <c r="M22" i="1" s="1" a="1"/>
  <c r="M22" i="1" s="1"/>
  <c r="K20" i="1" a="1"/>
  <c r="K20" i="1" s="1"/>
  <c r="K11" i="1" a="1"/>
  <c r="K11" i="1" s="1"/>
  <c r="K2" i="1" a="1"/>
  <c r="K2" i="1" s="1"/>
  <c r="J12" i="1" a="1"/>
  <c r="J12" i="1" s="1"/>
  <c r="J3" i="1" a="1"/>
  <c r="J3" i="1" s="1"/>
  <c r="L3" i="1" s="1" a="1"/>
  <c r="L3" i="1" s="1"/>
  <c r="L12" i="1" l="1" a="1"/>
  <c r="L12" i="1" s="1"/>
  <c r="L5" i="1" a="1"/>
  <c r="L5" i="1" s="1"/>
  <c r="L14" i="1" a="1"/>
  <c r="L14" i="1" s="1"/>
  <c r="L22" i="1" a="1"/>
  <c r="L22" i="1" s="1"/>
  <c r="L4" i="1" a="1"/>
  <c r="L4" i="1" s="1"/>
  <c r="M3" i="1" a="1"/>
  <c r="M3" i="1" s="1"/>
  <c r="M4" i="1" a="1"/>
  <c r="M4" i="1" s="1"/>
  <c r="M13" i="1" a="1"/>
  <c r="M13" i="1" s="1"/>
  <c r="K22" i="1" a="1"/>
  <c r="K22" i="1" s="1"/>
  <c r="L13" i="1" a="1"/>
  <c r="L13" i="1" s="1"/>
  <c r="M23" i="1" a="1"/>
  <c r="M23" i="1" s="1"/>
  <c r="L23" i="1" a="1"/>
  <c r="L23" i="1" s="1"/>
  <c r="K23" i="1" a="1"/>
  <c r="K23" i="1" s="1"/>
  <c r="M12" i="1" a="1"/>
  <c r="M12" i="1" s="1"/>
  <c r="M5" i="1" a="1"/>
  <c r="M5" i="1" s="1"/>
  <c r="M14" i="1" a="1"/>
  <c r="M14" i="1" s="1"/>
  <c r="J21" i="1"/>
  <c r="K12" i="1" a="1"/>
  <c r="K12" i="1" s="1"/>
  <c r="K13" i="1" a="1"/>
  <c r="K13" i="1" s="1"/>
  <c r="K14" i="1" a="1"/>
  <c r="K14" i="1" s="1"/>
  <c r="K4" i="1" a="1"/>
  <c r="K4" i="1" s="1"/>
  <c r="K5" i="1" a="1"/>
  <c r="K5" i="1" s="1"/>
  <c r="K3" i="1" a="1"/>
  <c r="K3" i="1" s="1"/>
  <c r="K21" i="1" l="1" a="1"/>
  <c r="K21" i="1" s="1"/>
  <c r="L21" i="1" a="1"/>
  <c r="L21" i="1" s="1"/>
  <c r="M21" i="1" a="1"/>
  <c r="M2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<sst xmlns="http://schemas.openxmlformats.org/spreadsheetml/2006/main" count="188" uniqueCount="14">
  <si>
    <t>Matriz</t>
  </si>
  <si>
    <t>TP</t>
  </si>
  <si>
    <t>Marcos</t>
  </si>
  <si>
    <t>Politica</t>
  </si>
  <si>
    <t>NR</t>
  </si>
  <si>
    <t>Fallos</t>
  </si>
  <si>
    <t>Hits</t>
  </si>
  <si>
    <t>TasaFallos</t>
  </si>
  <si>
    <t>8x8</t>
  </si>
  <si>
    <t>FIFO</t>
  </si>
  <si>
    <t>FIFOModified</t>
  </si>
  <si>
    <t>LRU</t>
  </si>
  <si>
    <t>16x16</t>
  </si>
  <si>
    <t>128x128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</si>
</sst>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"/>
    <numFmt numFmtId="171" formatCode="0.0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19" fillId="0" borderId="12" xfId="0" applyFont="1" applyBorder="1"/>
    <xf numFmtId="170" fontId="0" fillId="0" borderId="10" xfId="0" applyNumberFormat="1" applyBorder="1"/>
    <xf numFmtId="17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8x8, TP 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resultados!$K$2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resultados!$J$3:$J$5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resultados!$K$3:$K$5</c:f>
              <c:numCache>
                <c:formatCode>0.00000</c:formatCode>
                <c:ptCount val="3"/>
                <c:pt idx="0">
                  <c:v>1.1029000000000001E-2</c:v>
                </c:pt>
                <c:pt idx="1">
                  <c:v>1.1029000000000001E-2</c:v>
                </c:pt>
                <c:pt idx="2">
                  <c:v>1.1029000000000001E-2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C-1643-85B5-1E9F84F53397}"/>
            </c:ext>
          </c:extLst>
        </c:ser>
        <c:ser>
          <c:idx val="1"/>
          <c:order val="1"/>
          <c:tx>
            <c:strRef>
              <c:f>resultados!$L$2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resultados!$J$3:$J$5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resultados!$L$3:$L$5</c:f>
              <c:numCache>
                <c:formatCode>0.00000</c:formatCode>
                <c:ptCount val="3"/>
                <c:pt idx="0">
                  <c:v>1.1029000000000001E-2</c:v>
                </c:pt>
                <c:pt idx="1">
                  <c:v>1.1029000000000001E-2</c:v>
                </c:pt>
                <c:pt idx="2">
                  <c:v>1.1029000000000001E-2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CC-1643-85B5-1E9F84F53397}"/>
            </c:ext>
          </c:extLst>
        </c:ser>
        <c:ser>
          <c:idx val="2"/>
          <c:order val="2"/>
          <c:tx>
            <c:strRef>
              <c:f>resultados!$M$2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resultados!$J$3:$J$5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resultados!$M$3:$M$5</c:f>
              <c:numCache>
                <c:formatCode>0.00000</c:formatCode>
                <c:ptCount val="3"/>
                <c:pt idx="0">
                  <c:v>1.1029000000000001E-2</c:v>
                </c:pt>
                <c:pt idx="1">
                  <c:v>1.1029000000000001E-2</c:v>
                </c:pt>
                <c:pt idx="2">
                  <c:v>1.1029000000000001E-2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CC-1643-85B5-1E9F84F533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28905664"/>
        <c:axId val="928903872"/>
      </c:barChart>
      <c:catAx>
        <c:axId val="92890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928903872"/>
        <c:crosses val="autoZero"/>
        <c:auto val="1"/>
        <c:lblAlgn val="ctr"/>
        <c:lblOffset val="100"/>
        <c:noMultiLvlLbl val="0"/>
      </c:catAx>
      <c:valAx>
        <c:axId val="928903872"/>
        <c:scaling>
          <c:orientation val="minMax"/>
        </c:scaling>
        <c:delete val="1"/>
        <c:axPos val="l"/>
        <c:numFmt formatCode="0.00000" sourceLinked="1"/>
        <c:majorTickMark val="none"/>
        <c:minorTickMark val="none"/>
        <c:tickLblPos val="nextTo"/>
        <c:crossAx val="9289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8x8, TP 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resultados!$K$11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resultados!$J$12:$J$14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resultados!$K$12:$K$14</c:f>
              <c:numCache>
                <c:formatCode>0.00000</c:formatCode>
                <c:ptCount val="3"/>
                <c:pt idx="0">
                  <c:v>2.7569999999999999E-3</c:v>
                </c:pt>
                <c:pt idx="1">
                  <c:v>2.7569999999999999E-3</c:v>
                </c:pt>
                <c:pt idx="2">
                  <c:v>2.7569999999999999E-3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4-B349-BD32-38AFD974B395}"/>
            </c:ext>
          </c:extLst>
        </c:ser>
        <c:ser>
          <c:idx val="1"/>
          <c:order val="1"/>
          <c:tx>
            <c:strRef>
              <c:f>resultados!$L$11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resultados!$J$12:$J$14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resultados!$L$12:$L$14</c:f>
              <c:numCache>
                <c:formatCode>0.00000</c:formatCode>
                <c:ptCount val="3"/>
                <c:pt idx="0">
                  <c:v>2.7569999999999999E-3</c:v>
                </c:pt>
                <c:pt idx="1">
                  <c:v>2.7569999999999999E-3</c:v>
                </c:pt>
                <c:pt idx="2">
                  <c:v>2.7569999999999999E-3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4-B349-BD32-38AFD974B395}"/>
            </c:ext>
          </c:extLst>
        </c:ser>
        <c:ser>
          <c:idx val="2"/>
          <c:order val="2"/>
          <c:tx>
            <c:strRef>
              <c:f>resultados!$M$11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resultados!$J$12:$J$14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resultados!$M$12:$M$14</c:f>
              <c:numCache>
                <c:formatCode>0.00000</c:formatCode>
                <c:ptCount val="3"/>
                <c:pt idx="0">
                  <c:v>2.7569999999999999E-3</c:v>
                </c:pt>
                <c:pt idx="1">
                  <c:v>2.7569999999999999E-3</c:v>
                </c:pt>
                <c:pt idx="2">
                  <c:v>2.7569999999999999E-3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D4-B349-BD32-38AFD974B3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88665664"/>
        <c:axId val="588673280"/>
      </c:barChart>
      <c:catAx>
        <c:axId val="58866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588673280"/>
        <c:crosses val="autoZero"/>
        <c:auto val="1"/>
        <c:lblAlgn val="ctr"/>
        <c:lblOffset val="100"/>
        <c:noMultiLvlLbl val="0"/>
      </c:catAx>
      <c:valAx>
        <c:axId val="588673280"/>
        <c:scaling>
          <c:orientation val="minMax"/>
        </c:scaling>
        <c:delete val="1"/>
        <c:axPos val="l"/>
        <c:numFmt formatCode="0.00000" sourceLinked="1"/>
        <c:majorTickMark val="none"/>
        <c:minorTickMark val="none"/>
        <c:tickLblPos val="nextTo"/>
        <c:crossAx val="58866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8x8, TP</a:t>
            </a:r>
            <a:r>
              <a:rPr lang="en-US" baseline="0"/>
              <a:t> 1024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resultados!$K$20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resultados!$J$21:$J$23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resultados!$K$21:$K$23</c:f>
              <c:numCache>
                <c:formatCode>0.00000</c:formatCode>
                <c:ptCount val="3"/>
                <c:pt idx="0">
                  <c:v>9.19E-4</c:v>
                </c:pt>
                <c:pt idx="1">
                  <c:v>9.19E-4</c:v>
                </c:pt>
                <c:pt idx="2">
                  <c:v>9.19E-4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3-114C-BEA7-B63B7040415B}"/>
            </c:ext>
          </c:extLst>
        </c:ser>
        <c:ser>
          <c:idx val="1"/>
          <c:order val="1"/>
          <c:tx>
            <c:strRef>
              <c:f>resultados!$L$20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resultados!$J$21:$J$23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resultados!$L$21:$L$23</c:f>
              <c:numCache>
                <c:formatCode>0.00000</c:formatCode>
                <c:ptCount val="3"/>
                <c:pt idx="0">
                  <c:v>9.19E-4</c:v>
                </c:pt>
                <c:pt idx="1">
                  <c:v>9.19E-4</c:v>
                </c:pt>
                <c:pt idx="2">
                  <c:v>9.19E-4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B3-114C-BEA7-B63B7040415B}"/>
            </c:ext>
          </c:extLst>
        </c:ser>
        <c:ser>
          <c:idx val="2"/>
          <c:order val="2"/>
          <c:tx>
            <c:strRef>
              <c:f>resultados!$M$20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resultados!$J$21:$J$23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resultados!$M$21:$M$23</c:f>
              <c:numCache>
                <c:formatCode>0.00000</c:formatCode>
                <c:ptCount val="3"/>
                <c:pt idx="0">
                  <c:v>9.19E-4</c:v>
                </c:pt>
                <c:pt idx="1">
                  <c:v>9.19E-4</c:v>
                </c:pt>
                <c:pt idx="2">
                  <c:v>9.19E-4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B3-114C-BEA7-B63B704041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28872000"/>
        <c:axId val="928859008"/>
      </c:barChart>
      <c:catAx>
        <c:axId val="92887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928859008"/>
        <c:crosses val="autoZero"/>
        <c:auto val="1"/>
        <c:lblAlgn val="ctr"/>
        <c:lblOffset val="100"/>
        <c:noMultiLvlLbl val="0"/>
      </c:catAx>
      <c:valAx>
        <c:axId val="928859008"/>
        <c:scaling>
          <c:orientation val="minMax"/>
        </c:scaling>
        <c:delete val="1"/>
        <c:axPos val="l"/>
        <c:numFmt formatCode="0.00000" sourceLinked="1"/>
        <c:majorTickMark val="none"/>
        <c:minorTickMark val="none"/>
        <c:tickLblPos val="nextTo"/>
        <c:crossAx val="92887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16x16,</a:t>
            </a:r>
            <a:r>
              <a:rPr lang="en-US" baseline="0"/>
              <a:t> TP 64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resultados!$K$29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resultados!$J$30:$J$32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resultados!$K$30:$K$32</c:f>
              <c:numCache>
                <c:formatCode>0.00000</c:formatCode>
                <c:ptCount val="3"/>
                <c:pt idx="0">
                  <c:v>0.55871199999999999</c:v>
                </c:pt>
                <c:pt idx="1">
                  <c:v>0.55871199999999999</c:v>
                </c:pt>
                <c:pt idx="2">
                  <c:v>0.27864499999999998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A-AD42-9C5C-632D6A8AD0AE}"/>
            </c:ext>
          </c:extLst>
        </c:ser>
        <c:ser>
          <c:idx val="1"/>
          <c:order val="1"/>
          <c:tx>
            <c:strRef>
              <c:f>resultados!$L$29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resultados!$J$30:$J$32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resultados!$L$30:$L$32</c:f>
              <c:numCache>
                <c:formatCode>0.00000</c:formatCode>
                <c:ptCount val="3"/>
                <c:pt idx="0">
                  <c:v>0.55871199999999999</c:v>
                </c:pt>
                <c:pt idx="1">
                  <c:v>0.55871199999999999</c:v>
                </c:pt>
                <c:pt idx="2">
                  <c:v>0.27840900000000002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9A-AD42-9C5C-632D6A8AD0AE}"/>
            </c:ext>
          </c:extLst>
        </c:ser>
        <c:ser>
          <c:idx val="2"/>
          <c:order val="2"/>
          <c:tx>
            <c:strRef>
              <c:f>resultados!$M$29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resultados!$J$30:$J$32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resultados!$M$30:$M$32</c:f>
              <c:numCache>
                <c:formatCode>0.00000</c:formatCode>
                <c:ptCount val="3"/>
                <c:pt idx="0">
                  <c:v>0.55871199999999999</c:v>
                </c:pt>
                <c:pt idx="1">
                  <c:v>0.55871199999999999</c:v>
                </c:pt>
                <c:pt idx="2">
                  <c:v>0.27923700000000001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9A-AD42-9C5C-632D6A8AD0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5820992"/>
        <c:axId val="715831744"/>
      </c:barChart>
      <c:catAx>
        <c:axId val="71582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715831744"/>
        <c:crosses val="autoZero"/>
        <c:auto val="1"/>
        <c:lblAlgn val="ctr"/>
        <c:lblOffset val="100"/>
        <c:noMultiLvlLbl val="0"/>
      </c:catAx>
      <c:valAx>
        <c:axId val="715831744"/>
        <c:scaling>
          <c:orientation val="minMax"/>
        </c:scaling>
        <c:delete val="1"/>
        <c:axPos val="l"/>
        <c:numFmt formatCode="0.00000" sourceLinked="1"/>
        <c:majorTickMark val="none"/>
        <c:minorTickMark val="none"/>
        <c:tickLblPos val="nextTo"/>
        <c:crossAx val="71582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16x16, TP</a:t>
            </a:r>
            <a:r>
              <a:rPr lang="en-US" baseline="0"/>
              <a:t> 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resultados!$K$38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resultados!$J$39:$J$41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resultados!$K$39:$K$41</c:f>
              <c:numCache>
                <c:formatCode>0.0000</c:formatCode>
                <c:ptCount val="3"/>
                <c:pt idx="0">
                  <c:v>1.42E-3</c:v>
                </c:pt>
                <c:pt idx="1">
                  <c:v>1.42E-3</c:v>
                </c:pt>
                <c:pt idx="2">
                  <c:v>1.42E-3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D-1E4A-88BA-33DF0764714F}"/>
            </c:ext>
          </c:extLst>
        </c:ser>
        <c:ser>
          <c:idx val="1"/>
          <c:order val="1"/>
          <c:tx>
            <c:strRef>
              <c:f>resultados!$L$38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resultados!$J$39:$J$41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resultados!$L$39:$L$41</c:f>
              <c:numCache>
                <c:formatCode>0.0000</c:formatCode>
                <c:ptCount val="3"/>
                <c:pt idx="0">
                  <c:v>1.42E-3</c:v>
                </c:pt>
                <c:pt idx="1">
                  <c:v>1.42E-3</c:v>
                </c:pt>
                <c:pt idx="2">
                  <c:v>1.42E-3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3D-1E4A-88BA-33DF0764714F}"/>
            </c:ext>
          </c:extLst>
        </c:ser>
        <c:ser>
          <c:idx val="2"/>
          <c:order val="2"/>
          <c:tx>
            <c:strRef>
              <c:f>resultados!$M$38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resultados!$J$39:$J$41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resultados!$M$39:$M$41</c:f>
              <c:numCache>
                <c:formatCode>0.0000</c:formatCode>
                <c:ptCount val="3"/>
                <c:pt idx="0">
                  <c:v>1.42E-3</c:v>
                </c:pt>
                <c:pt idx="1">
                  <c:v>1.42E-3</c:v>
                </c:pt>
                <c:pt idx="2">
                  <c:v>1.42E-3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3D-1E4A-88BA-33DF076471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89161216"/>
        <c:axId val="589164352"/>
      </c:barChart>
      <c:catAx>
        <c:axId val="58916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589164352"/>
        <c:crosses val="autoZero"/>
        <c:auto val="1"/>
        <c:lblAlgn val="ctr"/>
        <c:lblOffset val="100"/>
        <c:noMultiLvlLbl val="0"/>
      </c:catAx>
      <c:valAx>
        <c:axId val="589164352"/>
        <c:scaling>
          <c:orientation val="minMax"/>
        </c:scaling>
        <c:delete val="1"/>
        <c:axPos val="l"/>
        <c:numFmt formatCode="0.0000" sourceLinked="1"/>
        <c:majorTickMark val="none"/>
        <c:minorTickMark val="none"/>
        <c:tickLblPos val="nextTo"/>
        <c:crossAx val="58916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16x16, TP 1024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resultados!$K$47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resultados!$J$48:$J$50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resultados!$K$48:$K$50</c:f>
              <c:numCache>
                <c:formatCode>0.00000</c:formatCode>
                <c:ptCount val="3"/>
                <c:pt idx="0">
                  <c:v>3.5500000000000001E-4</c:v>
                </c:pt>
                <c:pt idx="1">
                  <c:v>1.42E-3</c:v>
                </c:pt>
                <c:pt idx="2">
                  <c:v>1.42E-3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1-5749-AEC4-E9F876AE9FC2}"/>
            </c:ext>
          </c:extLst>
        </c:ser>
        <c:ser>
          <c:idx val="1"/>
          <c:order val="1"/>
          <c:tx>
            <c:strRef>
              <c:f>resultados!$L$47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resultados!$J$48:$J$50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resultados!$L$48:$L$50</c:f>
              <c:numCache>
                <c:formatCode>0.00000</c:formatCode>
                <c:ptCount val="3"/>
                <c:pt idx="0">
                  <c:v>1.42E-3</c:v>
                </c:pt>
                <c:pt idx="1">
                  <c:v>1.42E-3</c:v>
                </c:pt>
                <c:pt idx="2">
                  <c:v>1.42E-3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1-5749-AEC4-E9F876AE9FC2}"/>
            </c:ext>
          </c:extLst>
        </c:ser>
        <c:ser>
          <c:idx val="2"/>
          <c:order val="2"/>
          <c:tx>
            <c:strRef>
              <c:f>resultados!$M$47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resultados!$J$48:$J$50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resultados!$M$48:$M$50</c:f>
              <c:numCache>
                <c:formatCode>0.00000</c:formatCode>
                <c:ptCount val="3"/>
                <c:pt idx="0">
                  <c:v>1.42E-3</c:v>
                </c:pt>
                <c:pt idx="1">
                  <c:v>1.42E-3</c:v>
                </c:pt>
                <c:pt idx="2">
                  <c:v>1.42E-3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D1-5749-AEC4-E9F876AE9F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89281280"/>
        <c:axId val="589277248"/>
      </c:barChart>
      <c:catAx>
        <c:axId val="58928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589277248"/>
        <c:crosses val="autoZero"/>
        <c:auto val="1"/>
        <c:lblAlgn val="ctr"/>
        <c:lblOffset val="100"/>
        <c:noMultiLvlLbl val="0"/>
      </c:catAx>
      <c:valAx>
        <c:axId val="589277248"/>
        <c:scaling>
          <c:orientation val="minMax"/>
        </c:scaling>
        <c:delete val="1"/>
        <c:axPos val="l"/>
        <c:numFmt formatCode="0.00000" sourceLinked="1"/>
        <c:majorTickMark val="none"/>
        <c:minorTickMark val="none"/>
        <c:tickLblPos val="nextTo"/>
        <c:crossAx val="5892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128x128, TP 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resultados!$K$56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resultados!$J$57:$J$59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resultados!$K$57:$K$59</c:f>
              <c:numCache>
                <c:formatCode>0.00000</c:formatCode>
                <c:ptCount val="3"/>
                <c:pt idx="0">
                  <c:v>0.56420199999999998</c:v>
                </c:pt>
                <c:pt idx="1">
                  <c:v>0.56420199999999998</c:v>
                </c:pt>
                <c:pt idx="2">
                  <c:v>0.85749900000000001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A-C946-A672-0591D68701ED}"/>
            </c:ext>
          </c:extLst>
        </c:ser>
        <c:ser>
          <c:idx val="1"/>
          <c:order val="1"/>
          <c:tx>
            <c:strRef>
              <c:f>resultados!$L$56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resultados!$J$57:$J$59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resultados!$L$57:$L$59</c:f>
              <c:numCache>
                <c:formatCode>0.00000</c:formatCode>
                <c:ptCount val="3"/>
                <c:pt idx="0">
                  <c:v>0.56420199999999998</c:v>
                </c:pt>
                <c:pt idx="1">
                  <c:v>0.56420199999999998</c:v>
                </c:pt>
                <c:pt idx="2">
                  <c:v>0.84688300000000005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A-C946-A672-0591D68701ED}"/>
            </c:ext>
          </c:extLst>
        </c:ser>
        <c:ser>
          <c:idx val="2"/>
          <c:order val="2"/>
          <c:tx>
            <c:strRef>
              <c:f>resultados!$M$56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resultados!$J$57:$J$59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resultados!$M$57:$M$59</c:f>
              <c:numCache>
                <c:formatCode>0.00000</c:formatCode>
                <c:ptCount val="3"/>
                <c:pt idx="0">
                  <c:v>0.56420199999999998</c:v>
                </c:pt>
                <c:pt idx="1">
                  <c:v>0.56420199999999998</c:v>
                </c:pt>
                <c:pt idx="2">
                  <c:v>0.858649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7A-C946-A672-0591D68701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88563776"/>
        <c:axId val="351994304"/>
      </c:barChart>
      <c:catAx>
        <c:axId val="5885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51994304"/>
        <c:crosses val="autoZero"/>
        <c:auto val="1"/>
        <c:lblAlgn val="ctr"/>
        <c:lblOffset val="100"/>
        <c:noMultiLvlLbl val="0"/>
      </c:catAx>
      <c:valAx>
        <c:axId val="351994304"/>
        <c:scaling>
          <c:orientation val="minMax"/>
        </c:scaling>
        <c:delete val="1"/>
        <c:axPos val="l"/>
        <c:numFmt formatCode="0.00000" sourceLinked="1"/>
        <c:majorTickMark val="none"/>
        <c:minorTickMark val="none"/>
        <c:tickLblPos val="nextTo"/>
        <c:crossAx val="58856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128x128, TP 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resultados!$K$65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resultados!$J$66:$J$68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resultados!$K$66:$K$68</c:f>
              <c:numCache>
                <c:formatCode>0.00000</c:formatCode>
                <c:ptCount val="3"/>
                <c:pt idx="0">
                  <c:v>0.54863799999999996</c:v>
                </c:pt>
                <c:pt idx="1">
                  <c:v>0.54863799999999996</c:v>
                </c:pt>
                <c:pt idx="2">
                  <c:v>0.79852100000000004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2-4145-94E0-479AF31C6A64}"/>
            </c:ext>
          </c:extLst>
        </c:ser>
        <c:ser>
          <c:idx val="1"/>
          <c:order val="1"/>
          <c:tx>
            <c:strRef>
              <c:f>resultados!$L$65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resultados!$J$66:$J$68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resultados!$L$66:$L$68</c:f>
              <c:numCache>
                <c:formatCode>0.00000</c:formatCode>
                <c:ptCount val="3"/>
                <c:pt idx="0">
                  <c:v>0.54863799999999996</c:v>
                </c:pt>
                <c:pt idx="1">
                  <c:v>0.54863799999999996</c:v>
                </c:pt>
                <c:pt idx="2">
                  <c:v>0.79992799999999997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2-4145-94E0-479AF31C6A64}"/>
            </c:ext>
          </c:extLst>
        </c:ser>
        <c:ser>
          <c:idx val="2"/>
          <c:order val="2"/>
          <c:tx>
            <c:strRef>
              <c:f>resultados!$M$65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resultados!$J$66:$J$68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resultados!$M$66:$M$68</c:f>
              <c:numCache>
                <c:formatCode>0.00000</c:formatCode>
                <c:ptCount val="3"/>
                <c:pt idx="0">
                  <c:v>0.54863799999999996</c:v>
                </c:pt>
                <c:pt idx="1">
                  <c:v>0.54863799999999996</c:v>
                </c:pt>
                <c:pt idx="2">
                  <c:v>0.79421299999999995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2-4145-94E0-479AF31C6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892238720"/>
        <c:axId val="892239168"/>
      </c:barChart>
      <c:catAx>
        <c:axId val="89223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892239168"/>
        <c:crosses val="autoZero"/>
        <c:auto val="1"/>
        <c:lblAlgn val="ctr"/>
        <c:lblOffset val="100"/>
        <c:noMultiLvlLbl val="0"/>
      </c:catAx>
      <c:valAx>
        <c:axId val="892239168"/>
        <c:scaling>
          <c:orientation val="minMax"/>
        </c:scaling>
        <c:delete val="1"/>
        <c:axPos val="l"/>
        <c:numFmt formatCode="0.00000" sourceLinked="1"/>
        <c:majorTickMark val="none"/>
        <c:minorTickMark val="none"/>
        <c:tickLblPos val="nextTo"/>
        <c:crossAx val="89223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128x128, TP 1024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resultados!$K$74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resultados!$J$75:$J$77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resultados!$K$75:$K$77</c:f>
              <c:numCache>
                <c:formatCode>0.00000</c:formatCode>
                <c:ptCount val="3"/>
                <c:pt idx="0">
                  <c:v>0.27399899999999999</c:v>
                </c:pt>
                <c:pt idx="1">
                  <c:v>0.27399899999999999</c:v>
                </c:pt>
                <c:pt idx="2">
                  <c:v>0.533308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A-4045-812F-46733051E039}"/>
            </c:ext>
          </c:extLst>
        </c:ser>
        <c:ser>
          <c:idx val="1"/>
          <c:order val="1"/>
          <c:tx>
            <c:strRef>
              <c:f>resultados!$L$74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resultados!$J$75:$J$77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resultados!$L$75:$L$77</c:f>
              <c:numCache>
                <c:formatCode>0.00000</c:formatCode>
                <c:ptCount val="3"/>
                <c:pt idx="0">
                  <c:v>0.27399899999999999</c:v>
                </c:pt>
                <c:pt idx="1">
                  <c:v>0.27399899999999999</c:v>
                </c:pt>
                <c:pt idx="2">
                  <c:v>0.533918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A-4045-812F-46733051E039}"/>
            </c:ext>
          </c:extLst>
        </c:ser>
        <c:ser>
          <c:idx val="2"/>
          <c:order val="2"/>
          <c:tx>
            <c:strRef>
              <c:f>resultados!$M$74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resultados!$J$75:$J$77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resultados!$M$75:$M$77</c:f>
              <c:numCache>
                <c:formatCode>0.00000</c:formatCode>
                <c:ptCount val="3"/>
                <c:pt idx="0">
                  <c:v>0.27399899999999999</c:v>
                </c:pt>
                <c:pt idx="1">
                  <c:v>0.27399899999999999</c:v>
                </c:pt>
                <c:pt idx="2">
                  <c:v>0.53210400000000002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A-4045-812F-46733051E0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50503360"/>
        <c:axId val="325840256"/>
      </c:barChart>
      <c:catAx>
        <c:axId val="35050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325840256"/>
        <c:crosses val="autoZero"/>
        <c:auto val="1"/>
        <c:lblAlgn val="ctr"/>
        <c:lblOffset val="100"/>
        <c:noMultiLvlLbl val="0"/>
      </c:catAx>
      <c:valAx>
        <c:axId val="325840256"/>
        <c:scaling>
          <c:orientation val="minMax"/>
        </c:scaling>
        <c:delete val="1"/>
        <c:axPos val="l"/>
        <c:numFmt formatCode="0.00000" sourceLinked="1"/>
        <c:majorTickMark val="none"/>
        <c:minorTickMark val="none"/>
        <c:tickLblPos val="nextTo"/>
        <c:crossAx val="35050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12700</xdr:colOff>
      <xdr:row>1</xdr:row>
      <xdr:rowOff>0</xdr:rowOff>
    </xdr:from>
    <xdr:to>
      <xdr:col>21</xdr:col>
      <xdr:colOff>0</xdr:colOff>
      <xdr:row>9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6192EF-449E-1640-FC1C-54D511A45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812800</xdr:colOff>
      <xdr:row>9</xdr:row>
      <xdr:rowOff>190500</xdr:rowOff>
    </xdr:from>
    <xdr:to>
      <xdr:col>21</xdr:col>
      <xdr:colOff>0</xdr:colOff>
      <xdr:row>17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C583E2-AE5B-AAD0-65C1-D320D9BEF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12699</xdr:colOff>
      <xdr:row>18</xdr:row>
      <xdr:rowOff>177800</xdr:rowOff>
    </xdr:from>
    <xdr:to>
      <xdr:col>21</xdr:col>
      <xdr:colOff>25400</xdr:colOff>
      <xdr:row>27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97CB1E-5403-7160-531F-EA7E767F0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825499</xdr:colOff>
      <xdr:row>27</xdr:row>
      <xdr:rowOff>190500</xdr:rowOff>
    </xdr:from>
    <xdr:to>
      <xdr:col>21</xdr:col>
      <xdr:colOff>25400</xdr:colOff>
      <xdr:row>36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B5C9CE-8235-9EC5-C652-B833060A7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825499</xdr:colOff>
      <xdr:row>37</xdr:row>
      <xdr:rowOff>0</xdr:rowOff>
    </xdr:from>
    <xdr:to>
      <xdr:col>21</xdr:col>
      <xdr:colOff>45510</xdr:colOff>
      <xdr:row>45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9314902-7831-FB79-B45D-82798BFC1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46</xdr:row>
      <xdr:rowOff>50800</xdr:rowOff>
    </xdr:from>
    <xdr:to>
      <xdr:col>21</xdr:col>
      <xdr:colOff>50800</xdr:colOff>
      <xdr:row>54</xdr:row>
      <xdr:rowOff>139700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1CAAB7F-54AC-0392-C686-53451D438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825499</xdr:colOff>
      <xdr:row>55</xdr:row>
      <xdr:rowOff>12700</xdr:rowOff>
    </xdr:from>
    <xdr:to>
      <xdr:col>21</xdr:col>
      <xdr:colOff>76200</xdr:colOff>
      <xdr:row>63</xdr:row>
      <xdr:rowOff>177800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B0F27E-4C00-1212-F246-DBD5B7001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812799</xdr:colOff>
      <xdr:row>64</xdr:row>
      <xdr:rowOff>50800</xdr:rowOff>
    </xdr:from>
    <xdr:to>
      <xdr:col>21</xdr:col>
      <xdr:colOff>76200</xdr:colOff>
      <xdr:row>73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9DE4091-A749-670F-FD56-BAE520D67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73</xdr:row>
      <xdr:rowOff>127000</xdr:rowOff>
    </xdr:from>
    <xdr:to>
      <xdr:col>21</xdr:col>
      <xdr:colOff>88900</xdr:colOff>
      <xdr:row>87</xdr:row>
      <xdr:rowOff>25400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E642354-2922-6A05-0DEE-812A7CAEE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77C0-A0FE-BD45-9600-ED34B9FFB697}">
  <dimension ref="A1:M82"/>
  <sheetViews>
    <sheetView tabSelected="1" topLeftCell="F1" workbookViewId="0">
      <selection activeCell="W80" sqref="W80"/>
    </sheetView>
  </sheetViews>
  <sheetFormatPr baseColWidth="10" defaultRowHeight="16" x14ac:dyDescent="0.2"/>
  <cols>
    <col min="1" max="1" width="8" bestFit="1" customWidth="1"/>
    <col min="2" max="2" width="5.1640625" bestFit="1" customWidth="1"/>
    <col min="3" max="3" width="7.1640625" bestFit="1" customWidth="1"/>
    <col min="4" max="4" width="12" bestFit="1" customWidth="1"/>
    <col min="5" max="7" width="8.1640625" bestFit="1" customWidth="1"/>
    <col min="8" max="8" width="9.6640625" bestFit="1" customWidth="1"/>
    <col min="10" max="10" width="14.6640625" bestFit="1" customWidth="1"/>
  </cols>
  <sheetData>
    <row r="1" spans="1:1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x14ac:dyDescent="0.2">
      <c r="A2" s="2" t="s">
        <v>8</v>
      </c>
      <c r="B2" s="2">
        <v>64</v>
      </c>
      <c r="C2" s="2">
        <v>4</v>
      </c>
      <c r="D2" s="2" t="s">
        <v>9</v>
      </c>
      <c r="E2" s="2">
        <v>1088</v>
      </c>
      <c r="F2" s="2">
        <v>12</v>
      </c>
      <c r="G2" s="2">
        <v>1076</v>
      </c>
      <c r="H2" s="2">
        <v>1.1029000000000001E-2</v>
      </c>
      <c r="J2" s="1"/>
      <c r="K2" s="1" cm="1">
        <f t="array" ref="K2:M2">TRANSPOSE(_xlfn.UNIQUE($C$2:$C$58))</f>
        <v>4</v>
      </c>
      <c r="L2" s="1">
        <v>8</v>
      </c>
      <c r="M2" s="1">
        <v>16</v>
      </c>
    </row>
    <row r="3" spans="1:13" x14ac:dyDescent="0.2">
      <c r="A3" s="2" t="s">
        <v>8</v>
      </c>
      <c r="B3" s="2">
        <v>64</v>
      </c>
      <c r="C3" s="2">
        <v>4</v>
      </c>
      <c r="D3" s="2" t="s">
        <v>10</v>
      </c>
      <c r="E3" s="2">
        <v>1088</v>
      </c>
      <c r="F3" s="2">
        <v>12</v>
      </c>
      <c r="G3" s="2">
        <v>1076</v>
      </c>
      <c r="H3" s="2">
        <v>1.1029000000000001E-2</v>
      </c>
      <c r="J3" s="1" t="str" cm="1">
        <f t="array" ref="J3:J5">_xlfn.UNIQUE($D$2:$D$58)</f>
        <v>FIFO</v>
      </c>
      <c r="K3" s="7" cm="1">
        <f t="array" ref="K3">INDEX($H$2:$H$10, MATCH($J3&amp;K$2, $D$2:$D$10&amp;$C$2:$C$10, 0))</f>
        <v>1.1029000000000001E-2</v>
      </c>
      <c r="L3" s="7" cm="1">
        <f t="array" ref="L3">INDEX($H$2:$H$10, MATCH($J3&amp;L$2, $D$2:$D$10&amp;$C$2:$C$10, 0))</f>
        <v>1.1029000000000001E-2</v>
      </c>
      <c r="M3" s="7" cm="1">
        <f t="array" ref="M3">INDEX($H$2:$H$10, MATCH($J3&amp;M$2, $D$2:$D$10&amp;$C$2:$C$10, 0))</f>
        <v>1.1029000000000001E-2</v>
      </c>
    </row>
    <row r="4" spans="1:13" x14ac:dyDescent="0.2">
      <c r="A4" s="2" t="s">
        <v>8</v>
      </c>
      <c r="B4" s="2">
        <v>64</v>
      </c>
      <c r="C4" s="2">
        <v>4</v>
      </c>
      <c r="D4" s="2" t="s">
        <v>11</v>
      </c>
      <c r="E4" s="2">
        <v>1088</v>
      </c>
      <c r="F4" s="2">
        <v>12</v>
      </c>
      <c r="G4" s="2">
        <v>1076</v>
      </c>
      <c r="H4" s="2">
        <v>1.1029000000000001E-2</v>
      </c>
      <c r="J4" s="1" t="str">
        <v>FIFOModified</v>
      </c>
      <c r="K4" s="7" cm="1">
        <f t="array" ref="K4">INDEX($H$2:$H$10, MATCH($J4&amp;K$2, $D$2:$D$10&amp;$C$2:$C$10, 0))</f>
        <v>1.1029000000000001E-2</v>
      </c>
      <c r="L4" s="7" cm="1">
        <f t="array" ref="L4">INDEX($H$2:$H$10, MATCH($J4&amp;L$2, $D$2:$D$10&amp;$C$2:$C$10, 0))</f>
        <v>1.1029000000000001E-2</v>
      </c>
      <c r="M4" s="7" cm="1">
        <f t="array" ref="M4">INDEX($H$2:$H$10, MATCH($J4&amp;M$2, $D$2:$D$10&amp;$C$2:$C$10, 0))</f>
        <v>1.1029000000000001E-2</v>
      </c>
    </row>
    <row r="5" spans="1:13" x14ac:dyDescent="0.2">
      <c r="A5" s="2" t="s">
        <v>8</v>
      </c>
      <c r="B5" s="2">
        <v>64</v>
      </c>
      <c r="C5" s="2">
        <v>8</v>
      </c>
      <c r="D5" s="2" t="s">
        <v>9</v>
      </c>
      <c r="E5" s="2">
        <v>1088</v>
      </c>
      <c r="F5" s="2">
        <v>12</v>
      </c>
      <c r="G5" s="2">
        <v>1076</v>
      </c>
      <c r="H5" s="2">
        <v>1.1029000000000001E-2</v>
      </c>
      <c r="J5" s="1" t="str">
        <v>LRU</v>
      </c>
      <c r="K5" s="7" cm="1">
        <f t="array" ref="K5">INDEX($H$2:$H$10, MATCH($J5&amp;K$2, $D$2:$D$10&amp;$C$2:$C$10, 0))</f>
        <v>1.1029000000000001E-2</v>
      </c>
      <c r="L5" s="7" cm="1">
        <f t="array" ref="L5">INDEX($H$2:$H$10, MATCH($J5&amp;L$2, $D$2:$D$10&amp;$C$2:$C$10, 0))</f>
        <v>1.1029000000000001E-2</v>
      </c>
      <c r="M5" s="7" cm="1">
        <f t="array" ref="M5">INDEX($H$2:$H$10, MATCH($J5&amp;M$2, $D$2:$D$10&amp;$C$2:$C$10, 0))</f>
        <v>1.1029000000000001E-2</v>
      </c>
    </row>
    <row r="6" spans="1:13" x14ac:dyDescent="0.2">
      <c r="A6" s="2" t="s">
        <v>8</v>
      </c>
      <c r="B6" s="2">
        <v>64</v>
      </c>
      <c r="C6" s="2">
        <v>8</v>
      </c>
      <c r="D6" s="2" t="s">
        <v>10</v>
      </c>
      <c r="E6" s="2">
        <v>1088</v>
      </c>
      <c r="F6" s="2">
        <v>12</v>
      </c>
      <c r="G6" s="2">
        <v>1076</v>
      </c>
      <c r="H6" s="2">
        <v>1.1029000000000001E-2</v>
      </c>
    </row>
    <row r="7" spans="1:13" x14ac:dyDescent="0.2">
      <c r="A7" s="2" t="s">
        <v>8</v>
      </c>
      <c r="B7" s="2">
        <v>64</v>
      </c>
      <c r="C7" s="2">
        <v>8</v>
      </c>
      <c r="D7" s="2" t="s">
        <v>11</v>
      </c>
      <c r="E7" s="2">
        <v>1088</v>
      </c>
      <c r="F7" s="2">
        <v>12</v>
      </c>
      <c r="G7" s="2">
        <v>1076</v>
      </c>
      <c r="H7" s="2">
        <v>1.1029000000000001E-2</v>
      </c>
    </row>
    <row r="8" spans="1:13" x14ac:dyDescent="0.2">
      <c r="A8" s="2" t="s">
        <v>8</v>
      </c>
      <c r="B8" s="2">
        <v>64</v>
      </c>
      <c r="C8" s="2">
        <v>16</v>
      </c>
      <c r="D8" s="2" t="s">
        <v>9</v>
      </c>
      <c r="E8" s="2">
        <v>1088</v>
      </c>
      <c r="F8" s="2">
        <v>12</v>
      </c>
      <c r="G8" s="2">
        <v>1076</v>
      </c>
      <c r="H8" s="2">
        <v>1.1029000000000001E-2</v>
      </c>
    </row>
    <row r="9" spans="1:13" x14ac:dyDescent="0.2">
      <c r="A9" s="2" t="s">
        <v>8</v>
      </c>
      <c r="B9" s="2">
        <v>64</v>
      </c>
      <c r="C9" s="2">
        <v>16</v>
      </c>
      <c r="D9" s="2" t="s">
        <v>10</v>
      </c>
      <c r="E9" s="2">
        <v>1088</v>
      </c>
      <c r="F9" s="2">
        <v>12</v>
      </c>
      <c r="G9" s="2">
        <v>1076</v>
      </c>
      <c r="H9" s="2">
        <v>1.1029000000000001E-2</v>
      </c>
    </row>
    <row r="10" spans="1:13" x14ac:dyDescent="0.2">
      <c r="A10" s="2" t="s">
        <v>8</v>
      </c>
      <c r="B10" s="2">
        <v>64</v>
      </c>
      <c r="C10" s="2">
        <v>16</v>
      </c>
      <c r="D10" s="2" t="s">
        <v>11</v>
      </c>
      <c r="E10" s="2">
        <v>1088</v>
      </c>
      <c r="F10" s="2">
        <v>12</v>
      </c>
      <c r="G10" s="2">
        <v>1076</v>
      </c>
      <c r="H10" s="2">
        <v>1.1029000000000001E-2</v>
      </c>
    </row>
    <row r="11" spans="1:13" x14ac:dyDescent="0.2">
      <c r="A11" s="2" t="s">
        <v>8</v>
      </c>
      <c r="B11" s="2">
        <v>256</v>
      </c>
      <c r="C11" s="2">
        <v>4</v>
      </c>
      <c r="D11" s="2" t="s">
        <v>9</v>
      </c>
      <c r="E11" s="2">
        <v>1088</v>
      </c>
      <c r="F11" s="2">
        <v>3</v>
      </c>
      <c r="G11" s="2">
        <v>1085</v>
      </c>
      <c r="H11" s="2">
        <v>2.7569999999999999E-3</v>
      </c>
      <c r="J11" s="1"/>
      <c r="K11" s="1" cm="1">
        <f t="array" ref="K11:M11">TRANSPOSE(_xlfn.UNIQUE($C$2:$C$58))</f>
        <v>4</v>
      </c>
      <c r="L11" s="1">
        <v>8</v>
      </c>
      <c r="M11" s="1">
        <v>16</v>
      </c>
    </row>
    <row r="12" spans="1:13" x14ac:dyDescent="0.2">
      <c r="A12" s="2" t="s">
        <v>8</v>
      </c>
      <c r="B12" s="2">
        <v>256</v>
      </c>
      <c r="C12" s="2">
        <v>4</v>
      </c>
      <c r="D12" s="2" t="s">
        <v>10</v>
      </c>
      <c r="E12" s="2">
        <v>1088</v>
      </c>
      <c r="F12" s="2">
        <v>3</v>
      </c>
      <c r="G12" s="2">
        <v>1085</v>
      </c>
      <c r="H12" s="2">
        <v>2.7569999999999999E-3</v>
      </c>
      <c r="J12" s="1" t="str" cm="1">
        <f t="array" ref="J12:J14">_xlfn.UNIQUE($D$2:$D$58)</f>
        <v>FIFO</v>
      </c>
      <c r="K12" s="7" cm="1">
        <f t="array" ref="K12">INDEX($H$11:$H$19, MATCH($J12&amp;K$11, $D$11:$D$19&amp;$C$11:$C$19, 0))</f>
        <v>2.7569999999999999E-3</v>
      </c>
      <c r="L12" s="7" cm="1">
        <f t="array" ref="L12">INDEX($H$11:$H$19, MATCH($J12&amp;L$11, $D$11:$D$19&amp;$C$11:$C$19, 0))</f>
        <v>2.7569999999999999E-3</v>
      </c>
      <c r="M12" s="7" cm="1">
        <f t="array" ref="M12">INDEX($H$11:$H$19, MATCH($J12&amp;M$11, $D$11:$D$19&amp;$C$11:$C$19, 0))</f>
        <v>2.7569999999999999E-3</v>
      </c>
    </row>
    <row r="13" spans="1:13" x14ac:dyDescent="0.2">
      <c r="A13" s="2" t="s">
        <v>8</v>
      </c>
      <c r="B13" s="2">
        <v>256</v>
      </c>
      <c r="C13" s="2">
        <v>4</v>
      </c>
      <c r="D13" s="2" t="s">
        <v>11</v>
      </c>
      <c r="E13" s="2">
        <v>1088</v>
      </c>
      <c r="F13" s="2">
        <v>3</v>
      </c>
      <c r="G13" s="2">
        <v>1085</v>
      </c>
      <c r="H13" s="2">
        <v>2.7569999999999999E-3</v>
      </c>
      <c r="J13" s="1" t="str">
        <v>FIFOModified</v>
      </c>
      <c r="K13" s="7" cm="1">
        <f t="array" ref="K13">INDEX($H$11:$H$19, MATCH($J13&amp;K$11, $D$11:$D$19&amp;$C$11:$C$19, 0))</f>
        <v>2.7569999999999999E-3</v>
      </c>
      <c r="L13" s="7" cm="1">
        <f t="array" ref="L13">INDEX($H$11:$H$19, MATCH($J13&amp;L$11, $D$11:$D$19&amp;$C$11:$C$19, 0))</f>
        <v>2.7569999999999999E-3</v>
      </c>
      <c r="M13" s="7" cm="1">
        <f t="array" ref="M13">INDEX($H$11:$H$19, MATCH($J13&amp;M$11, $D$11:$D$19&amp;$C$11:$C$19, 0))</f>
        <v>2.7569999999999999E-3</v>
      </c>
    </row>
    <row r="14" spans="1:13" x14ac:dyDescent="0.2">
      <c r="A14" s="2" t="s">
        <v>8</v>
      </c>
      <c r="B14" s="2">
        <v>256</v>
      </c>
      <c r="C14" s="2">
        <v>8</v>
      </c>
      <c r="D14" s="2" t="s">
        <v>9</v>
      </c>
      <c r="E14" s="2">
        <v>1088</v>
      </c>
      <c r="F14" s="2">
        <v>3</v>
      </c>
      <c r="G14" s="2">
        <v>1085</v>
      </c>
      <c r="H14" s="2">
        <v>2.7569999999999999E-3</v>
      </c>
      <c r="J14" s="1" t="str">
        <v>LRU</v>
      </c>
      <c r="K14" s="7" cm="1">
        <f t="array" ref="K14">INDEX($H$11:$H$19, MATCH($J14&amp;K$11, $D$11:$D$19&amp;$C$11:$C$19, 0))</f>
        <v>2.7569999999999999E-3</v>
      </c>
      <c r="L14" s="7" cm="1">
        <f t="array" ref="L14">INDEX($H$11:$H$19, MATCH($J14&amp;L$11, $D$11:$D$19&amp;$C$11:$C$19, 0))</f>
        <v>2.7569999999999999E-3</v>
      </c>
      <c r="M14" s="7" cm="1">
        <f t="array" ref="M14">INDEX($H$11:$H$19, MATCH($J14&amp;M$11, $D$11:$D$19&amp;$C$11:$C$19, 0))</f>
        <v>2.7569999999999999E-3</v>
      </c>
    </row>
    <row r="15" spans="1:13" x14ac:dyDescent="0.2">
      <c r="A15" s="2" t="s">
        <v>8</v>
      </c>
      <c r="B15" s="2">
        <v>256</v>
      </c>
      <c r="C15" s="2">
        <v>8</v>
      </c>
      <c r="D15" s="2" t="s">
        <v>10</v>
      </c>
      <c r="E15" s="2">
        <v>1088</v>
      </c>
      <c r="F15" s="2">
        <v>3</v>
      </c>
      <c r="G15" s="2">
        <v>1085</v>
      </c>
      <c r="H15" s="2">
        <v>2.7569999999999999E-3</v>
      </c>
    </row>
    <row r="16" spans="1:13" x14ac:dyDescent="0.2">
      <c r="A16" s="2" t="s">
        <v>8</v>
      </c>
      <c r="B16" s="2">
        <v>256</v>
      </c>
      <c r="C16" s="2">
        <v>8</v>
      </c>
      <c r="D16" s="2" t="s">
        <v>11</v>
      </c>
      <c r="E16" s="2">
        <v>1088</v>
      </c>
      <c r="F16" s="2">
        <v>3</v>
      </c>
      <c r="G16" s="2">
        <v>1085</v>
      </c>
      <c r="H16" s="2">
        <v>2.7569999999999999E-3</v>
      </c>
    </row>
    <row r="17" spans="1:13" x14ac:dyDescent="0.2">
      <c r="A17" s="2" t="s">
        <v>8</v>
      </c>
      <c r="B17" s="2">
        <v>256</v>
      </c>
      <c r="C17" s="2">
        <v>16</v>
      </c>
      <c r="D17" s="2" t="s">
        <v>9</v>
      </c>
      <c r="E17" s="2">
        <v>1088</v>
      </c>
      <c r="F17" s="2">
        <v>3</v>
      </c>
      <c r="G17" s="2">
        <v>1085</v>
      </c>
      <c r="H17" s="2">
        <v>2.7569999999999999E-3</v>
      </c>
    </row>
    <row r="18" spans="1:13" x14ac:dyDescent="0.2">
      <c r="A18" s="2" t="s">
        <v>8</v>
      </c>
      <c r="B18" s="2">
        <v>256</v>
      </c>
      <c r="C18" s="2">
        <v>16</v>
      </c>
      <c r="D18" s="2" t="s">
        <v>10</v>
      </c>
      <c r="E18" s="2">
        <v>1088</v>
      </c>
      <c r="F18" s="2">
        <v>3</v>
      </c>
      <c r="G18" s="2">
        <v>1085</v>
      </c>
      <c r="H18" s="2">
        <v>2.7569999999999999E-3</v>
      </c>
    </row>
    <row r="19" spans="1:13" x14ac:dyDescent="0.2">
      <c r="A19" s="2" t="s">
        <v>8</v>
      </c>
      <c r="B19" s="2">
        <v>256</v>
      </c>
      <c r="C19" s="2">
        <v>16</v>
      </c>
      <c r="D19" s="2" t="s">
        <v>11</v>
      </c>
      <c r="E19" s="2">
        <v>1088</v>
      </c>
      <c r="F19" s="2">
        <v>3</v>
      </c>
      <c r="G19" s="2">
        <v>1085</v>
      </c>
      <c r="H19" s="2">
        <v>2.7569999999999999E-3</v>
      </c>
    </row>
    <row r="20" spans="1:13" x14ac:dyDescent="0.2">
      <c r="A20" s="2" t="s">
        <v>8</v>
      </c>
      <c r="B20" s="2">
        <v>1024</v>
      </c>
      <c r="C20" s="2">
        <v>4</v>
      </c>
      <c r="D20" s="2" t="s">
        <v>9</v>
      </c>
      <c r="E20" s="2">
        <v>1088</v>
      </c>
      <c r="F20" s="2">
        <v>1</v>
      </c>
      <c r="G20" s="2">
        <v>1087</v>
      </c>
      <c r="H20" s="2">
        <v>9.19E-4</v>
      </c>
      <c r="J20" s="1"/>
      <c r="K20" s="1" cm="1">
        <f t="array" ref="K20:M20">TRANSPOSE(_xlfn.UNIQUE($C$2:$C$58))</f>
        <v>4</v>
      </c>
      <c r="L20" s="1">
        <v>8</v>
      </c>
      <c r="M20" s="1">
        <v>16</v>
      </c>
    </row>
    <row r="21" spans="1:13" x14ac:dyDescent="0.2">
      <c r="A21" s="2" t="s">
        <v>8</v>
      </c>
      <c r="B21" s="2">
        <v>1024</v>
      </c>
      <c r="C21" s="2">
        <v>4</v>
      </c>
      <c r="D21" s="2" t="s">
        <v>10</v>
      </c>
      <c r="E21" s="2">
        <v>1088</v>
      </c>
      <c r="F21" s="2">
        <v>1</v>
      </c>
      <c r="G21" s="2">
        <v>1087</v>
      </c>
      <c r="H21" s="2">
        <v>9.19E-4</v>
      </c>
      <c r="J21" s="1" t="str" cm="1">
        <f t="array" ref="J21:J23">_xlfn.UNIQUE($D$2:$D$58)</f>
        <v>FIFO</v>
      </c>
      <c r="K21" s="7" cm="1">
        <f t="array" ref="K21">INDEX($H$20:$H$28, MATCH($J21&amp;K$20, $D$20:$D$28&amp;$C$20:$C$28, 0))</f>
        <v>9.19E-4</v>
      </c>
      <c r="L21" s="7" cm="1">
        <f t="array" ref="L21">INDEX($H$20:$H$28, MATCH($J21&amp;L$20, $D$20:$D$28&amp;$C$20:$C$28, 0))</f>
        <v>9.19E-4</v>
      </c>
      <c r="M21" s="7" cm="1">
        <f t="array" ref="M21">INDEX($H$20:$H$28, MATCH($J21&amp;M$20, $D$20:$D$28&amp;$C$20:$C$28, 0))</f>
        <v>9.19E-4</v>
      </c>
    </row>
    <row r="22" spans="1:13" x14ac:dyDescent="0.2">
      <c r="A22" s="2" t="s">
        <v>8</v>
      </c>
      <c r="B22" s="2">
        <v>1024</v>
      </c>
      <c r="C22" s="2">
        <v>4</v>
      </c>
      <c r="D22" s="2" t="s">
        <v>11</v>
      </c>
      <c r="E22" s="2">
        <v>1088</v>
      </c>
      <c r="F22" s="2">
        <v>1</v>
      </c>
      <c r="G22" s="2">
        <v>1087</v>
      </c>
      <c r="H22" s="2">
        <v>9.19E-4</v>
      </c>
      <c r="J22" s="1" t="str">
        <v>FIFOModified</v>
      </c>
      <c r="K22" s="7" cm="1">
        <f t="array" ref="K22">INDEX($H$20:$H$28, MATCH($J22&amp;K$20, $D$20:$D$28&amp;$C$20:$C$28, 0))</f>
        <v>9.19E-4</v>
      </c>
      <c r="L22" s="7" cm="1">
        <f t="array" ref="L22">INDEX($H$20:$H$28, MATCH($J22&amp;L$20, $D$20:$D$28&amp;$C$20:$C$28, 0))</f>
        <v>9.19E-4</v>
      </c>
      <c r="M22" s="7" cm="1">
        <f t="array" ref="M22">INDEX($H$20:$H$28, MATCH($J22&amp;M$20, $D$20:$D$28&amp;$C$20:$C$28, 0))</f>
        <v>9.19E-4</v>
      </c>
    </row>
    <row r="23" spans="1:13" x14ac:dyDescent="0.2">
      <c r="A23" s="2" t="s">
        <v>8</v>
      </c>
      <c r="B23" s="2">
        <v>1024</v>
      </c>
      <c r="C23" s="2">
        <v>8</v>
      </c>
      <c r="D23" s="2" t="s">
        <v>9</v>
      </c>
      <c r="E23" s="2">
        <v>1088</v>
      </c>
      <c r="F23" s="2">
        <v>1</v>
      </c>
      <c r="G23" s="2">
        <v>1087</v>
      </c>
      <c r="H23" s="2">
        <v>9.19E-4</v>
      </c>
      <c r="J23" s="1" t="str">
        <v>LRU</v>
      </c>
      <c r="K23" s="7" cm="1">
        <f t="array" ref="K23">INDEX($H$20:$H$28, MATCH($J23&amp;K$20, $D$20:$D$28&amp;$C$20:$C$28, 0))</f>
        <v>9.19E-4</v>
      </c>
      <c r="L23" s="7" cm="1">
        <f t="array" ref="L23">INDEX($H$20:$H$28, MATCH($J23&amp;L$20, $D$20:$D$28&amp;$C$20:$C$28, 0))</f>
        <v>9.19E-4</v>
      </c>
      <c r="M23" s="7" cm="1">
        <f t="array" ref="M23">INDEX($H$20:$H$28, MATCH($J23&amp;M$20, $D$20:$D$28&amp;$C$20:$C$28, 0))</f>
        <v>9.19E-4</v>
      </c>
    </row>
    <row r="24" spans="1:13" x14ac:dyDescent="0.2">
      <c r="A24" s="2" t="s">
        <v>8</v>
      </c>
      <c r="B24" s="2">
        <v>1024</v>
      </c>
      <c r="C24" s="2">
        <v>8</v>
      </c>
      <c r="D24" s="2" t="s">
        <v>10</v>
      </c>
      <c r="E24" s="2">
        <v>1088</v>
      </c>
      <c r="F24" s="2">
        <v>1</v>
      </c>
      <c r="G24" s="2">
        <v>1087</v>
      </c>
      <c r="H24" s="2">
        <v>9.19E-4</v>
      </c>
    </row>
    <row r="25" spans="1:13" x14ac:dyDescent="0.2">
      <c r="A25" s="2" t="s">
        <v>8</v>
      </c>
      <c r="B25" s="2">
        <v>1024</v>
      </c>
      <c r="C25" s="2">
        <v>8</v>
      </c>
      <c r="D25" s="2" t="s">
        <v>11</v>
      </c>
      <c r="E25" s="2">
        <v>1088</v>
      </c>
      <c r="F25" s="2">
        <v>1</v>
      </c>
      <c r="G25" s="2">
        <v>1087</v>
      </c>
      <c r="H25" s="2">
        <v>9.19E-4</v>
      </c>
    </row>
    <row r="26" spans="1:13" x14ac:dyDescent="0.2">
      <c r="A26" s="2" t="s">
        <v>8</v>
      </c>
      <c r="B26" s="2">
        <v>1024</v>
      </c>
      <c r="C26" s="2">
        <v>16</v>
      </c>
      <c r="D26" s="2" t="s">
        <v>9</v>
      </c>
      <c r="E26" s="2">
        <v>1088</v>
      </c>
      <c r="F26" s="2">
        <v>1</v>
      </c>
      <c r="G26" s="2">
        <v>1087</v>
      </c>
      <c r="H26" s="2">
        <v>9.19E-4</v>
      </c>
    </row>
    <row r="27" spans="1:13" x14ac:dyDescent="0.2">
      <c r="A27" s="2" t="s">
        <v>8</v>
      </c>
      <c r="B27" s="2">
        <v>1024</v>
      </c>
      <c r="C27" s="2">
        <v>16</v>
      </c>
      <c r="D27" s="2" t="s">
        <v>10</v>
      </c>
      <c r="E27" s="2">
        <v>1088</v>
      </c>
      <c r="F27" s="2">
        <v>1</v>
      </c>
      <c r="G27" s="2">
        <v>1087</v>
      </c>
      <c r="H27" s="2">
        <v>9.19E-4</v>
      </c>
    </row>
    <row r="28" spans="1:13" x14ac:dyDescent="0.2">
      <c r="A28" s="2" t="s">
        <v>8</v>
      </c>
      <c r="B28" s="2">
        <v>1024</v>
      </c>
      <c r="C28" s="2">
        <v>16</v>
      </c>
      <c r="D28" s="2" t="s">
        <v>11</v>
      </c>
      <c r="E28" s="2">
        <v>1088</v>
      </c>
      <c r="F28" s="2">
        <v>1</v>
      </c>
      <c r="G28" s="2">
        <v>1087</v>
      </c>
      <c r="H28" s="2">
        <v>9.19E-4</v>
      </c>
    </row>
    <row r="29" spans="1:13" x14ac:dyDescent="0.2">
      <c r="A29" s="2" t="s">
        <v>12</v>
      </c>
      <c r="B29" s="2">
        <v>64</v>
      </c>
      <c r="C29" s="2">
        <v>4</v>
      </c>
      <c r="D29" s="2" t="s">
        <v>9</v>
      </c>
      <c r="E29" s="2">
        <v>8448</v>
      </c>
      <c r="F29" s="2">
        <v>4720</v>
      </c>
      <c r="G29" s="2">
        <v>3728</v>
      </c>
      <c r="H29" s="2">
        <v>0.55871199999999999</v>
      </c>
      <c r="J29" s="4"/>
      <c r="K29" s="5">
        <v>4</v>
      </c>
      <c r="L29" s="5">
        <v>8</v>
      </c>
      <c r="M29" s="5">
        <v>16</v>
      </c>
    </row>
    <row r="30" spans="1:13" x14ac:dyDescent="0.2">
      <c r="A30" s="2" t="s">
        <v>12</v>
      </c>
      <c r="B30" s="2">
        <v>64</v>
      </c>
      <c r="C30" s="2">
        <v>4</v>
      </c>
      <c r="D30" s="2" t="s">
        <v>10</v>
      </c>
      <c r="E30" s="2">
        <v>8448</v>
      </c>
      <c r="F30" s="2">
        <v>4720</v>
      </c>
      <c r="G30" s="2">
        <v>3728</v>
      </c>
      <c r="H30" s="2">
        <v>0.55871199999999999</v>
      </c>
      <c r="J30" s="6" t="s">
        <v>9</v>
      </c>
      <c r="K30" s="7" cm="1">
        <f t="array" ref="K30">INDEX($H$29:$H$37, MATCH($J30&amp;K$29, $D$29:$D$37&amp;$C$29:$C$37, 0))</f>
        <v>0.55871199999999999</v>
      </c>
      <c r="L30" s="7" cm="1">
        <f t="array" ref="L30">INDEX($H$29:$H$37, MATCH($J30&amp;L$29, $D$29:$D$37&amp;$C$29:$C$37, 0))</f>
        <v>0.55871199999999999</v>
      </c>
      <c r="M30" s="7" cm="1">
        <f t="array" ref="M30">INDEX($H$29:$H$37, MATCH($J30&amp;M$29, $D$29:$D$37&amp;$C$29:$C$37, 0))</f>
        <v>0.55871199999999999</v>
      </c>
    </row>
    <row r="31" spans="1:13" x14ac:dyDescent="0.2">
      <c r="A31" s="2" t="s">
        <v>12</v>
      </c>
      <c r="B31" s="2">
        <v>64</v>
      </c>
      <c r="C31" s="2">
        <v>4</v>
      </c>
      <c r="D31" s="2" t="s">
        <v>11</v>
      </c>
      <c r="E31" s="2">
        <v>8448</v>
      </c>
      <c r="F31" s="2">
        <v>2354</v>
      </c>
      <c r="G31" s="2">
        <v>6094</v>
      </c>
      <c r="H31" s="2">
        <v>0.27864499999999998</v>
      </c>
      <c r="J31" s="6" t="s">
        <v>10</v>
      </c>
      <c r="K31" s="7" cm="1">
        <f t="array" ref="K31">INDEX($H$29:$H$37, MATCH($J31&amp;K$29, $D$29:$D$37&amp;$C$29:$C$37, 0))</f>
        <v>0.55871199999999999</v>
      </c>
      <c r="L31" s="7" cm="1">
        <f t="array" ref="L31">INDEX($H$29:$H$37, MATCH($J31&amp;L$29, $D$29:$D$37&amp;$C$29:$C$37, 0))</f>
        <v>0.55871199999999999</v>
      </c>
      <c r="M31" s="7" cm="1">
        <f t="array" ref="M31">INDEX($H$29:$H$37, MATCH($J31&amp;M$29, $D$29:$D$37&amp;$C$29:$C$37, 0))</f>
        <v>0.55871199999999999</v>
      </c>
    </row>
    <row r="32" spans="1:13" x14ac:dyDescent="0.2">
      <c r="A32" s="2" t="s">
        <v>12</v>
      </c>
      <c r="B32" s="2">
        <v>64</v>
      </c>
      <c r="C32" s="2">
        <v>8</v>
      </c>
      <c r="D32" s="2" t="s">
        <v>9</v>
      </c>
      <c r="E32" s="2">
        <v>8448</v>
      </c>
      <c r="F32" s="2">
        <v>4720</v>
      </c>
      <c r="G32" s="2">
        <v>3728</v>
      </c>
      <c r="H32" s="2">
        <v>0.55871199999999999</v>
      </c>
      <c r="J32" s="6" t="s">
        <v>11</v>
      </c>
      <c r="K32" s="7" cm="1">
        <f t="array" ref="K32">INDEX($H$29:$H$37, MATCH($J32&amp;K$29, $D$29:$D$37&amp;$C$29:$C$37, 0))</f>
        <v>0.27864499999999998</v>
      </c>
      <c r="L32" s="7" cm="1">
        <f t="array" ref="L32">INDEX($H$29:$H$37, MATCH($J32&amp;L$29, $D$29:$D$37&amp;$C$29:$C$37, 0))</f>
        <v>0.27840900000000002</v>
      </c>
      <c r="M32" s="7" cm="1">
        <f t="array" ref="M32">INDEX($H$29:$H$37, MATCH($J32&amp;M$29, $D$29:$D$37&amp;$C$29:$C$37, 0))</f>
        <v>0.27923700000000001</v>
      </c>
    </row>
    <row r="33" spans="1:13" x14ac:dyDescent="0.2">
      <c r="A33" s="2" t="s">
        <v>12</v>
      </c>
      <c r="B33" s="2">
        <v>64</v>
      </c>
      <c r="C33" s="2">
        <v>8</v>
      </c>
      <c r="D33" s="2" t="s">
        <v>10</v>
      </c>
      <c r="E33" s="2">
        <v>8448</v>
      </c>
      <c r="F33" s="2">
        <v>4720</v>
      </c>
      <c r="G33" s="2">
        <v>3728</v>
      </c>
      <c r="H33" s="2">
        <v>0.55871199999999999</v>
      </c>
    </row>
    <row r="34" spans="1:13" x14ac:dyDescent="0.2">
      <c r="A34" s="2" t="s">
        <v>12</v>
      </c>
      <c r="B34" s="2">
        <v>64</v>
      </c>
      <c r="C34" s="2">
        <v>8</v>
      </c>
      <c r="D34" s="2" t="s">
        <v>11</v>
      </c>
      <c r="E34" s="2">
        <v>8448</v>
      </c>
      <c r="F34" s="2">
        <v>2352</v>
      </c>
      <c r="G34" s="2">
        <v>6096</v>
      </c>
      <c r="H34" s="2">
        <v>0.27840900000000002</v>
      </c>
    </row>
    <row r="35" spans="1:13" x14ac:dyDescent="0.2">
      <c r="A35" s="2" t="s">
        <v>12</v>
      </c>
      <c r="B35" s="2">
        <v>64</v>
      </c>
      <c r="C35" s="2">
        <v>16</v>
      </c>
      <c r="D35" s="2" t="s">
        <v>9</v>
      </c>
      <c r="E35" s="2">
        <v>8448</v>
      </c>
      <c r="F35" s="2">
        <v>4720</v>
      </c>
      <c r="G35" s="2">
        <v>3728</v>
      </c>
      <c r="H35" s="2">
        <v>0.55871199999999999</v>
      </c>
    </row>
    <row r="36" spans="1:13" x14ac:dyDescent="0.2">
      <c r="A36" s="2" t="s">
        <v>12</v>
      </c>
      <c r="B36" s="2">
        <v>64</v>
      </c>
      <c r="C36" s="2">
        <v>16</v>
      </c>
      <c r="D36" s="2" t="s">
        <v>10</v>
      </c>
      <c r="E36" s="2">
        <v>8448</v>
      </c>
      <c r="F36" s="2">
        <v>4720</v>
      </c>
      <c r="G36" s="2">
        <v>3728</v>
      </c>
      <c r="H36" s="2">
        <v>0.55871199999999999</v>
      </c>
    </row>
    <row r="37" spans="1:13" x14ac:dyDescent="0.2">
      <c r="A37" s="2" t="s">
        <v>12</v>
      </c>
      <c r="B37" s="2">
        <v>64</v>
      </c>
      <c r="C37" s="2">
        <v>16</v>
      </c>
      <c r="D37" s="2" t="s">
        <v>11</v>
      </c>
      <c r="E37" s="2">
        <v>8448</v>
      </c>
      <c r="F37" s="2">
        <v>2359</v>
      </c>
      <c r="G37" s="2">
        <v>6089</v>
      </c>
      <c r="H37" s="2">
        <v>0.27923700000000001</v>
      </c>
    </row>
    <row r="38" spans="1:13" x14ac:dyDescent="0.2">
      <c r="A38" s="2" t="s">
        <v>12</v>
      </c>
      <c r="B38" s="2">
        <v>256</v>
      </c>
      <c r="C38" s="2">
        <v>4</v>
      </c>
      <c r="D38" s="2" t="s">
        <v>9</v>
      </c>
      <c r="E38" s="2">
        <v>8448</v>
      </c>
      <c r="F38" s="2">
        <v>12</v>
      </c>
      <c r="G38" s="2">
        <v>8436</v>
      </c>
      <c r="H38" s="2">
        <v>1.42E-3</v>
      </c>
      <c r="J38" s="4"/>
      <c r="K38" s="5">
        <v>4</v>
      </c>
      <c r="L38" s="5">
        <v>8</v>
      </c>
      <c r="M38" s="5">
        <v>16</v>
      </c>
    </row>
    <row r="39" spans="1:13" x14ac:dyDescent="0.2">
      <c r="A39" s="2" t="s">
        <v>12</v>
      </c>
      <c r="B39" s="2">
        <v>256</v>
      </c>
      <c r="C39" s="2">
        <v>4</v>
      </c>
      <c r="D39" s="2" t="s">
        <v>10</v>
      </c>
      <c r="E39" s="2">
        <v>8448</v>
      </c>
      <c r="F39" s="2">
        <v>12</v>
      </c>
      <c r="G39" s="2">
        <v>8436</v>
      </c>
      <c r="H39" s="2">
        <v>1.42E-3</v>
      </c>
      <c r="J39" s="6" t="s">
        <v>9</v>
      </c>
      <c r="K39" s="8" cm="1">
        <f t="array" ref="K39">INDEX($H$38:$H$46, MATCH($J39&amp;K$38, $D$38:$D$46&amp;$C$38:$C$46, 0))</f>
        <v>1.42E-3</v>
      </c>
      <c r="L39" s="8" cm="1">
        <f t="array" ref="L39">INDEX($H$38:$H$46, MATCH($J39&amp;L$38, $D$38:$D$46&amp;$C$38:$C$46, 0))</f>
        <v>1.42E-3</v>
      </c>
      <c r="M39" s="8" cm="1">
        <f t="array" ref="M39">INDEX($H$38:$H$46, MATCH($J39&amp;M$38, $D$38:$D$46&amp;$C$38:$C$46, 0))</f>
        <v>1.42E-3</v>
      </c>
    </row>
    <row r="40" spans="1:13" x14ac:dyDescent="0.2">
      <c r="A40" s="2" t="s">
        <v>12</v>
      </c>
      <c r="B40" s="2">
        <v>256</v>
      </c>
      <c r="C40" s="2">
        <v>4</v>
      </c>
      <c r="D40" s="2" t="s">
        <v>11</v>
      </c>
      <c r="E40" s="2">
        <v>8448</v>
      </c>
      <c r="F40" s="2">
        <v>12</v>
      </c>
      <c r="G40" s="2">
        <v>8436</v>
      </c>
      <c r="H40" s="2">
        <v>1.42E-3</v>
      </c>
      <c r="J40" s="6" t="s">
        <v>10</v>
      </c>
      <c r="K40" s="8" cm="1">
        <f t="array" ref="K40">INDEX($H$38:$H$46, MATCH($J40&amp;K$38, $D$38:$D$46&amp;$C$38:$C$46, 0))</f>
        <v>1.42E-3</v>
      </c>
      <c r="L40" s="8" cm="1">
        <f t="array" ref="L40">INDEX($H$38:$H$46, MATCH($J40&amp;L$38, $D$38:$D$46&amp;$C$38:$C$46, 0))</f>
        <v>1.42E-3</v>
      </c>
      <c r="M40" s="8" cm="1">
        <f t="array" ref="M40">INDEX($H$38:$H$46, MATCH($J40&amp;M$38, $D$38:$D$46&amp;$C$38:$C$46, 0))</f>
        <v>1.42E-3</v>
      </c>
    </row>
    <row r="41" spans="1:13" x14ac:dyDescent="0.2">
      <c r="A41" s="2" t="s">
        <v>12</v>
      </c>
      <c r="B41" s="2">
        <v>256</v>
      </c>
      <c r="C41" s="2">
        <v>8</v>
      </c>
      <c r="D41" s="2" t="s">
        <v>9</v>
      </c>
      <c r="E41" s="2">
        <v>8448</v>
      </c>
      <c r="F41" s="2">
        <v>12</v>
      </c>
      <c r="G41" s="2">
        <v>8436</v>
      </c>
      <c r="H41" s="2">
        <v>1.42E-3</v>
      </c>
      <c r="J41" s="6" t="s">
        <v>11</v>
      </c>
      <c r="K41" s="8" cm="1">
        <f t="array" ref="K41">INDEX($H$38:$H$46, MATCH($J41&amp;K$38, $D$38:$D$46&amp;$C$38:$C$46, 0))</f>
        <v>1.42E-3</v>
      </c>
      <c r="L41" s="8" cm="1">
        <f t="array" ref="L41">INDEX($H$38:$H$46, MATCH($J41&amp;L$38, $D$38:$D$46&amp;$C$38:$C$46, 0))</f>
        <v>1.42E-3</v>
      </c>
      <c r="M41" s="8" cm="1">
        <f t="array" ref="M41">INDEX($H$38:$H$46, MATCH($J41&amp;M$38, $D$38:$D$46&amp;$C$38:$C$46, 0))</f>
        <v>1.42E-3</v>
      </c>
    </row>
    <row r="42" spans="1:13" x14ac:dyDescent="0.2">
      <c r="A42" s="2" t="s">
        <v>12</v>
      </c>
      <c r="B42" s="2">
        <v>256</v>
      </c>
      <c r="C42" s="2">
        <v>8</v>
      </c>
      <c r="D42" s="2" t="s">
        <v>10</v>
      </c>
      <c r="E42" s="2">
        <v>8448</v>
      </c>
      <c r="F42" s="2">
        <v>12</v>
      </c>
      <c r="G42" s="2">
        <v>8436</v>
      </c>
      <c r="H42" s="2">
        <v>1.42E-3</v>
      </c>
    </row>
    <row r="43" spans="1:13" x14ac:dyDescent="0.2">
      <c r="A43" s="2" t="s">
        <v>12</v>
      </c>
      <c r="B43" s="2">
        <v>256</v>
      </c>
      <c r="C43" s="2">
        <v>8</v>
      </c>
      <c r="D43" s="2" t="s">
        <v>11</v>
      </c>
      <c r="E43" s="2">
        <v>8448</v>
      </c>
      <c r="F43" s="2">
        <v>12</v>
      </c>
      <c r="G43" s="2">
        <v>8436</v>
      </c>
      <c r="H43" s="2">
        <v>1.42E-3</v>
      </c>
    </row>
    <row r="44" spans="1:13" x14ac:dyDescent="0.2">
      <c r="A44" s="2" t="s">
        <v>12</v>
      </c>
      <c r="B44" s="2">
        <v>256</v>
      </c>
      <c r="C44" s="2">
        <v>16</v>
      </c>
      <c r="D44" s="2" t="s">
        <v>9</v>
      </c>
      <c r="E44" s="2">
        <v>8448</v>
      </c>
      <c r="F44" s="2">
        <v>12</v>
      </c>
      <c r="G44" s="2">
        <v>8436</v>
      </c>
      <c r="H44" s="2">
        <v>1.42E-3</v>
      </c>
    </row>
    <row r="45" spans="1:13" x14ac:dyDescent="0.2">
      <c r="A45" s="2" t="s">
        <v>12</v>
      </c>
      <c r="B45" s="2">
        <v>256</v>
      </c>
      <c r="C45" s="2">
        <v>16</v>
      </c>
      <c r="D45" s="2" t="s">
        <v>10</v>
      </c>
      <c r="E45" s="2">
        <v>8448</v>
      </c>
      <c r="F45" s="2">
        <v>12</v>
      </c>
      <c r="G45" s="2">
        <v>8436</v>
      </c>
      <c r="H45" s="2">
        <v>1.42E-3</v>
      </c>
    </row>
    <row r="46" spans="1:13" x14ac:dyDescent="0.2">
      <c r="A46" s="2" t="s">
        <v>12</v>
      </c>
      <c r="B46" s="2">
        <v>256</v>
      </c>
      <c r="C46" s="2">
        <v>16</v>
      </c>
      <c r="D46" s="2" t="s">
        <v>11</v>
      </c>
      <c r="E46" s="2">
        <v>8448</v>
      </c>
      <c r="F46" s="2">
        <v>12</v>
      </c>
      <c r="G46" s="2">
        <v>8436</v>
      </c>
      <c r="H46" s="2">
        <v>1.42E-3</v>
      </c>
    </row>
    <row r="47" spans="1:13" x14ac:dyDescent="0.2">
      <c r="A47" s="2" t="s">
        <v>12</v>
      </c>
      <c r="B47" s="2">
        <v>1024</v>
      </c>
      <c r="C47" s="2">
        <v>4</v>
      </c>
      <c r="D47" s="2" t="s">
        <v>9</v>
      </c>
      <c r="E47" s="2">
        <v>8448</v>
      </c>
      <c r="F47" s="2">
        <v>3</v>
      </c>
      <c r="G47" s="2">
        <v>8445</v>
      </c>
      <c r="H47" s="2">
        <v>3.5500000000000001E-4</v>
      </c>
      <c r="J47" s="4"/>
      <c r="K47" s="5">
        <v>4</v>
      </c>
      <c r="L47" s="5">
        <v>8</v>
      </c>
      <c r="M47" s="5">
        <v>16</v>
      </c>
    </row>
    <row r="48" spans="1:13" x14ac:dyDescent="0.2">
      <c r="A48" s="2" t="s">
        <v>12</v>
      </c>
      <c r="B48" s="2">
        <v>1024</v>
      </c>
      <c r="C48" s="2">
        <v>4</v>
      </c>
      <c r="D48" s="2" t="s">
        <v>10</v>
      </c>
      <c r="E48" s="2">
        <v>8448</v>
      </c>
      <c r="F48" s="2">
        <v>3</v>
      </c>
      <c r="G48" s="2">
        <v>8445</v>
      </c>
      <c r="H48" s="2">
        <v>3.5500000000000001E-4</v>
      </c>
      <c r="J48" s="6" t="s">
        <v>9</v>
      </c>
      <c r="K48" s="7" cm="1">
        <f t="array" ref="K48">INDEX($H$47:$H$55, MATCH($J48&amp;K$38, $D$47:$D$55&amp;$C$47:$C$55, 0))</f>
        <v>3.5500000000000001E-4</v>
      </c>
      <c r="L48" s="7" cm="1">
        <f t="array" ref="L48">INDEX($H$38:$H$46, MATCH($J48&amp;L$38, $D$38:$D$46&amp;$C$38:$C$46, 0))</f>
        <v>1.42E-3</v>
      </c>
      <c r="M48" s="7" cm="1">
        <f t="array" ref="M48">INDEX($H$38:$H$46, MATCH($J48&amp;M$38, $D$38:$D$46&amp;$C$38:$C$46, 0))</f>
        <v>1.42E-3</v>
      </c>
    </row>
    <row r="49" spans="1:13" x14ac:dyDescent="0.2">
      <c r="A49" s="2" t="s">
        <v>12</v>
      </c>
      <c r="B49" s="2">
        <v>1024</v>
      </c>
      <c r="C49" s="2">
        <v>4</v>
      </c>
      <c r="D49" s="2" t="s">
        <v>11</v>
      </c>
      <c r="E49" s="2">
        <v>8448</v>
      </c>
      <c r="F49" s="2">
        <v>3</v>
      </c>
      <c r="G49" s="2">
        <v>8445</v>
      </c>
      <c r="H49" s="2">
        <v>3.5500000000000001E-4</v>
      </c>
      <c r="J49" s="6" t="s">
        <v>10</v>
      </c>
      <c r="K49" s="7" cm="1">
        <f t="array" ref="K49">INDEX($H$38:$H$46, MATCH($J49&amp;K$38, $D$38:$D$46&amp;$C$38:$C$46, 0))</f>
        <v>1.42E-3</v>
      </c>
      <c r="L49" s="7" cm="1">
        <f t="array" ref="L49">INDEX($H$38:$H$46, MATCH($J49&amp;L$38, $D$38:$D$46&amp;$C$38:$C$46, 0))</f>
        <v>1.42E-3</v>
      </c>
      <c r="M49" s="7" cm="1">
        <f t="array" ref="M49">INDEX($H$38:$H$46, MATCH($J49&amp;M$38, $D$38:$D$46&amp;$C$38:$C$46, 0))</f>
        <v>1.42E-3</v>
      </c>
    </row>
    <row r="50" spans="1:13" x14ac:dyDescent="0.2">
      <c r="A50" s="2" t="s">
        <v>12</v>
      </c>
      <c r="B50" s="2">
        <v>1024</v>
      </c>
      <c r="C50" s="2">
        <v>8</v>
      </c>
      <c r="D50" s="2" t="s">
        <v>9</v>
      </c>
      <c r="E50" s="2">
        <v>8448</v>
      </c>
      <c r="F50" s="2">
        <v>3</v>
      </c>
      <c r="G50" s="2">
        <v>8445</v>
      </c>
      <c r="H50" s="2">
        <v>3.5500000000000001E-4</v>
      </c>
      <c r="J50" s="6" t="s">
        <v>11</v>
      </c>
      <c r="K50" s="7" cm="1">
        <f t="array" ref="K50">INDEX($H$38:$H$46, MATCH($J50&amp;K$38, $D$38:$D$46&amp;$C$38:$C$46, 0))</f>
        <v>1.42E-3</v>
      </c>
      <c r="L50" s="7" cm="1">
        <f t="array" ref="L50">INDEX($H$38:$H$46, MATCH($J50&amp;L$38, $D$38:$D$46&amp;$C$38:$C$46, 0))</f>
        <v>1.42E-3</v>
      </c>
      <c r="M50" s="7" cm="1">
        <f t="array" ref="M50">INDEX($H$38:$H$46, MATCH($J50&amp;M$38, $D$38:$D$46&amp;$C$38:$C$46, 0))</f>
        <v>1.42E-3</v>
      </c>
    </row>
    <row r="51" spans="1:13" x14ac:dyDescent="0.2">
      <c r="A51" s="2" t="s">
        <v>12</v>
      </c>
      <c r="B51" s="2">
        <v>1024</v>
      </c>
      <c r="C51" s="2">
        <v>8</v>
      </c>
      <c r="D51" s="2" t="s">
        <v>10</v>
      </c>
      <c r="E51" s="2">
        <v>8448</v>
      </c>
      <c r="F51" s="2">
        <v>3</v>
      </c>
      <c r="G51" s="2">
        <v>8445</v>
      </c>
      <c r="H51" s="2">
        <v>3.5500000000000001E-4</v>
      </c>
    </row>
    <row r="52" spans="1:13" x14ac:dyDescent="0.2">
      <c r="A52" s="2" t="s">
        <v>12</v>
      </c>
      <c r="B52" s="2">
        <v>1024</v>
      </c>
      <c r="C52" s="2">
        <v>8</v>
      </c>
      <c r="D52" s="2" t="s">
        <v>11</v>
      </c>
      <c r="E52" s="2">
        <v>8448</v>
      </c>
      <c r="F52" s="2">
        <v>3</v>
      </c>
      <c r="G52" s="2">
        <v>8445</v>
      </c>
      <c r="H52" s="2">
        <v>3.5500000000000001E-4</v>
      </c>
    </row>
    <row r="53" spans="1:13" x14ac:dyDescent="0.2">
      <c r="A53" s="2" t="s">
        <v>12</v>
      </c>
      <c r="B53" s="2">
        <v>1024</v>
      </c>
      <c r="C53" s="2">
        <v>16</v>
      </c>
      <c r="D53" s="2" t="s">
        <v>9</v>
      </c>
      <c r="E53" s="2">
        <v>8448</v>
      </c>
      <c r="F53" s="2">
        <v>3</v>
      </c>
      <c r="G53" s="2">
        <v>8445</v>
      </c>
      <c r="H53" s="2">
        <v>3.5500000000000001E-4</v>
      </c>
    </row>
    <row r="54" spans="1:13" x14ac:dyDescent="0.2">
      <c r="A54" s="2" t="s">
        <v>12</v>
      </c>
      <c r="B54" s="2">
        <v>1024</v>
      </c>
      <c r="C54" s="2">
        <v>16</v>
      </c>
      <c r="D54" s="2" t="s">
        <v>10</v>
      </c>
      <c r="E54" s="2">
        <v>8448</v>
      </c>
      <c r="F54" s="2">
        <v>3</v>
      </c>
      <c r="G54" s="2">
        <v>8445</v>
      </c>
      <c r="H54" s="2">
        <v>3.5500000000000001E-4</v>
      </c>
    </row>
    <row r="55" spans="1:13" x14ac:dyDescent="0.2">
      <c r="A55" s="2" t="s">
        <v>12</v>
      </c>
      <c r="B55" s="2">
        <v>1024</v>
      </c>
      <c r="C55" s="2">
        <v>16</v>
      </c>
      <c r="D55" s="2" t="s">
        <v>11</v>
      </c>
      <c r="E55" s="2">
        <v>8448</v>
      </c>
      <c r="F55" s="2">
        <v>3</v>
      </c>
      <c r="G55" s="2">
        <v>8445</v>
      </c>
      <c r="H55" s="2">
        <v>3.5500000000000001E-4</v>
      </c>
    </row>
    <row r="56" spans="1:13" x14ac:dyDescent="0.2">
      <c r="A56" s="2" t="s">
        <v>13</v>
      </c>
      <c r="B56" s="2">
        <v>64</v>
      </c>
      <c r="C56" s="2">
        <v>4</v>
      </c>
      <c r="D56" s="2" t="s">
        <v>9</v>
      </c>
      <c r="E56" s="2">
        <v>4210688</v>
      </c>
      <c r="F56" s="2">
        <v>2375680</v>
      </c>
      <c r="G56" s="2">
        <v>1835008</v>
      </c>
      <c r="H56" s="2">
        <v>0.56420199999999998</v>
      </c>
      <c r="J56" s="4"/>
      <c r="K56" s="5">
        <v>4</v>
      </c>
      <c r="L56" s="5">
        <v>8</v>
      </c>
      <c r="M56" s="5">
        <v>16</v>
      </c>
    </row>
    <row r="57" spans="1:13" x14ac:dyDescent="0.2">
      <c r="A57" s="2" t="s">
        <v>13</v>
      </c>
      <c r="B57" s="2">
        <v>64</v>
      </c>
      <c r="C57" s="2">
        <v>4</v>
      </c>
      <c r="D57" s="2" t="s">
        <v>10</v>
      </c>
      <c r="E57" s="2">
        <v>4210688</v>
      </c>
      <c r="F57" s="2">
        <v>2375680</v>
      </c>
      <c r="G57" s="2">
        <v>1835008</v>
      </c>
      <c r="H57" s="2">
        <v>0.56420199999999998</v>
      </c>
      <c r="J57" s="6" t="s">
        <v>9</v>
      </c>
      <c r="K57" s="7" cm="1">
        <f t="array" ref="K57">INDEX($H$56:$H$64, MATCH($J57&amp;K$56, $D$56:$D$64&amp;$C$56:$C$64, 0))</f>
        <v>0.56420199999999998</v>
      </c>
      <c r="L57" s="7" cm="1">
        <f t="array" ref="L57">INDEX($H$56:$H$64, MATCH($J57&amp;L$56, $D$56:$D$64&amp;$C$56:$C$64, 0))</f>
        <v>0.56420199999999998</v>
      </c>
      <c r="M57" s="7" cm="1">
        <f t="array" ref="M57">INDEX($H$56:$H$64, MATCH($J57&amp;M$56, $D$56:$D$64&amp;$C$56:$C$64, 0))</f>
        <v>0.56420199999999998</v>
      </c>
    </row>
    <row r="58" spans="1:13" x14ac:dyDescent="0.2">
      <c r="A58" s="2" t="s">
        <v>13</v>
      </c>
      <c r="B58" s="2">
        <v>64</v>
      </c>
      <c r="C58" s="2">
        <v>4</v>
      </c>
      <c r="D58" s="2" t="s">
        <v>11</v>
      </c>
      <c r="E58" s="2">
        <v>4210688</v>
      </c>
      <c r="F58" s="2">
        <v>3610662</v>
      </c>
      <c r="G58" s="2">
        <v>600026</v>
      </c>
      <c r="H58" s="2">
        <v>0.85749900000000001</v>
      </c>
      <c r="J58" s="6" t="s">
        <v>10</v>
      </c>
      <c r="K58" s="7" cm="1">
        <f t="array" ref="K58">INDEX($H$56:$H$64, MATCH($J58&amp;K$56, $D$56:$D$64&amp;$C$56:$C$64, 0))</f>
        <v>0.56420199999999998</v>
      </c>
      <c r="L58" s="7" cm="1">
        <f t="array" ref="L58">INDEX($H$56:$H$64, MATCH($J58&amp;L$56, $D$56:$D$64&amp;$C$56:$C$64, 0))</f>
        <v>0.56420199999999998</v>
      </c>
      <c r="M58" s="7" cm="1">
        <f t="array" ref="M58">INDEX($H$56:$H$64, MATCH($J58&amp;M$56, $D$56:$D$64&amp;$C$56:$C$64, 0))</f>
        <v>0.56420199999999998</v>
      </c>
    </row>
    <row r="59" spans="1:13" x14ac:dyDescent="0.2">
      <c r="A59" s="2" t="s">
        <v>13</v>
      </c>
      <c r="B59" s="2">
        <v>64</v>
      </c>
      <c r="C59" s="2">
        <v>8</v>
      </c>
      <c r="D59" s="2" t="s">
        <v>9</v>
      </c>
      <c r="E59" s="2">
        <v>4210688</v>
      </c>
      <c r="F59" s="2">
        <v>2375680</v>
      </c>
      <c r="G59" s="2">
        <v>1835008</v>
      </c>
      <c r="H59" s="2">
        <v>0.56420199999999998</v>
      </c>
      <c r="J59" s="6" t="s">
        <v>11</v>
      </c>
      <c r="K59" s="7" cm="1">
        <f t="array" ref="K59">INDEX($H$56:$H$64, MATCH($J59&amp;K$56, $D$56:$D$64&amp;$C$56:$C$64, 0))</f>
        <v>0.85749900000000001</v>
      </c>
      <c r="L59" s="7" cm="1">
        <f t="array" ref="L59">INDEX($H$56:$H$64, MATCH($J59&amp;L$56, $D$56:$D$64&amp;$C$56:$C$64, 0))</f>
        <v>0.84688300000000005</v>
      </c>
      <c r="M59" s="7" cm="1">
        <f t="array" ref="M59">INDEX($H$56:$H$64, MATCH($J59&amp;M$56, $D$56:$D$64&amp;$C$56:$C$64, 0))</f>
        <v>0.858649</v>
      </c>
    </row>
    <row r="60" spans="1:13" x14ac:dyDescent="0.2">
      <c r="A60" s="2" t="s">
        <v>13</v>
      </c>
      <c r="B60" s="2">
        <v>64</v>
      </c>
      <c r="C60" s="2">
        <v>8</v>
      </c>
      <c r="D60" s="2" t="s">
        <v>10</v>
      </c>
      <c r="E60" s="2">
        <v>4210688</v>
      </c>
      <c r="F60" s="2">
        <v>2375680</v>
      </c>
      <c r="G60" s="2">
        <v>1835008</v>
      </c>
      <c r="H60" s="2">
        <v>0.56420199999999998</v>
      </c>
    </row>
    <row r="61" spans="1:13" x14ac:dyDescent="0.2">
      <c r="A61" s="2" t="s">
        <v>13</v>
      </c>
      <c r="B61" s="2">
        <v>64</v>
      </c>
      <c r="C61" s="2">
        <v>8</v>
      </c>
      <c r="D61" s="2" t="s">
        <v>11</v>
      </c>
      <c r="E61" s="2">
        <v>4210688</v>
      </c>
      <c r="F61" s="2">
        <v>3565963</v>
      </c>
      <c r="G61" s="2">
        <v>644725</v>
      </c>
      <c r="H61" s="2">
        <v>0.84688300000000005</v>
      </c>
    </row>
    <row r="62" spans="1:13" x14ac:dyDescent="0.2">
      <c r="A62" s="2" t="s">
        <v>13</v>
      </c>
      <c r="B62" s="2">
        <v>64</v>
      </c>
      <c r="C62" s="2">
        <v>16</v>
      </c>
      <c r="D62" s="2" t="s">
        <v>9</v>
      </c>
      <c r="E62" s="2">
        <v>4210688</v>
      </c>
      <c r="F62" s="2">
        <v>2375680</v>
      </c>
      <c r="G62" s="2">
        <v>1835008</v>
      </c>
      <c r="H62" s="2">
        <v>0.56420199999999998</v>
      </c>
    </row>
    <row r="63" spans="1:13" x14ac:dyDescent="0.2">
      <c r="A63" s="2" t="s">
        <v>13</v>
      </c>
      <c r="B63" s="2">
        <v>64</v>
      </c>
      <c r="C63" s="2">
        <v>16</v>
      </c>
      <c r="D63" s="2" t="s">
        <v>10</v>
      </c>
      <c r="E63" s="2">
        <v>4210688</v>
      </c>
      <c r="F63" s="2">
        <v>2375680</v>
      </c>
      <c r="G63" s="2">
        <v>1835008</v>
      </c>
      <c r="H63" s="2">
        <v>0.56420199999999998</v>
      </c>
    </row>
    <row r="64" spans="1:13" x14ac:dyDescent="0.2">
      <c r="A64" s="2" t="s">
        <v>13</v>
      </c>
      <c r="B64" s="2">
        <v>64</v>
      </c>
      <c r="C64" s="2">
        <v>16</v>
      </c>
      <c r="D64" s="2" t="s">
        <v>11</v>
      </c>
      <c r="E64" s="2">
        <v>4210688</v>
      </c>
      <c r="F64" s="2">
        <v>3615506</v>
      </c>
      <c r="G64" s="2">
        <v>595182</v>
      </c>
      <c r="H64" s="2">
        <v>0.858649</v>
      </c>
    </row>
    <row r="65" spans="1:13" x14ac:dyDescent="0.2">
      <c r="A65" s="2" t="s">
        <v>13</v>
      </c>
      <c r="B65" s="2">
        <v>256</v>
      </c>
      <c r="C65" s="2">
        <v>4</v>
      </c>
      <c r="D65" s="2" t="s">
        <v>9</v>
      </c>
      <c r="E65" s="2">
        <v>4210688</v>
      </c>
      <c r="F65" s="2">
        <v>2310144</v>
      </c>
      <c r="G65" s="2">
        <v>1900544</v>
      </c>
      <c r="H65" s="2">
        <v>0.54863799999999996</v>
      </c>
      <c r="J65" s="4"/>
      <c r="K65" s="5">
        <v>4</v>
      </c>
      <c r="L65" s="5">
        <v>8</v>
      </c>
      <c r="M65" s="5">
        <v>16</v>
      </c>
    </row>
    <row r="66" spans="1:13" x14ac:dyDescent="0.2">
      <c r="A66" s="2" t="s">
        <v>13</v>
      </c>
      <c r="B66" s="2">
        <v>256</v>
      </c>
      <c r="C66" s="2">
        <v>4</v>
      </c>
      <c r="D66" s="2" t="s">
        <v>10</v>
      </c>
      <c r="E66" s="2">
        <v>4210688</v>
      </c>
      <c r="F66" s="2">
        <v>2310144</v>
      </c>
      <c r="G66" s="2">
        <v>1900544</v>
      </c>
      <c r="H66" s="2">
        <v>0.54863799999999996</v>
      </c>
      <c r="J66" s="6" t="s">
        <v>9</v>
      </c>
      <c r="K66" s="7" cm="1">
        <f t="array" ref="K66">INDEX($H$65:$H$73, MATCH($J66&amp;K$65, $D$65:$D$73&amp;$C$65:$C$73, 0))</f>
        <v>0.54863799999999996</v>
      </c>
      <c r="L66" s="7" cm="1">
        <f t="array" ref="L66">INDEX($H$65:$H$73, MATCH($J66&amp;L$56, $D$65:$D$73&amp;$C$65:$C$73, 0))</f>
        <v>0.54863799999999996</v>
      </c>
      <c r="M66" s="7" cm="1">
        <f t="array" ref="M66">INDEX($H$65:$H$73, MATCH($J66&amp;M$56, $D$65:$D$73&amp;$C$65:$C$73, 0))</f>
        <v>0.54863799999999996</v>
      </c>
    </row>
    <row r="67" spans="1:13" x14ac:dyDescent="0.2">
      <c r="A67" s="2" t="s">
        <v>13</v>
      </c>
      <c r="B67" s="2">
        <v>256</v>
      </c>
      <c r="C67" s="2">
        <v>4</v>
      </c>
      <c r="D67" s="2" t="s">
        <v>11</v>
      </c>
      <c r="E67" s="2">
        <v>4210688</v>
      </c>
      <c r="F67" s="2">
        <v>3362327</v>
      </c>
      <c r="G67" s="2">
        <v>848361</v>
      </c>
      <c r="H67" s="2">
        <v>0.79852100000000004</v>
      </c>
      <c r="J67" s="6" t="s">
        <v>10</v>
      </c>
      <c r="K67" s="7" cm="1">
        <f t="array" ref="K67">INDEX($H$65:$H$73, MATCH($J67&amp;K$56, $D$65:$D$73&amp;$C$65:$C$73, 0))</f>
        <v>0.54863799999999996</v>
      </c>
      <c r="L67" s="7" cm="1">
        <f t="array" ref="L67">INDEX($H$65:$H$73, MATCH($J67&amp;L$56, $D$65:$D$73&amp;$C$65:$C$73, 0))</f>
        <v>0.54863799999999996</v>
      </c>
      <c r="M67" s="7" cm="1">
        <f t="array" ref="M67">INDEX($H$65:$H$73, MATCH($J67&amp;M$56, $D$65:$D$73&amp;$C$65:$C$73, 0))</f>
        <v>0.54863799999999996</v>
      </c>
    </row>
    <row r="68" spans="1:13" x14ac:dyDescent="0.2">
      <c r="A68" s="2" t="s">
        <v>13</v>
      </c>
      <c r="B68" s="2">
        <v>256</v>
      </c>
      <c r="C68" s="2">
        <v>8</v>
      </c>
      <c r="D68" s="2" t="s">
        <v>9</v>
      </c>
      <c r="E68" s="2">
        <v>4210688</v>
      </c>
      <c r="F68" s="2">
        <v>2310144</v>
      </c>
      <c r="G68" s="2">
        <v>1900544</v>
      </c>
      <c r="H68" s="2">
        <v>0.54863799999999996</v>
      </c>
      <c r="J68" s="6" t="s">
        <v>11</v>
      </c>
      <c r="K68" s="7" cm="1">
        <f t="array" ref="K68">INDEX($H$65:$H$73, MATCH($J68&amp;K$56, $D$65:$D$73&amp;$C$65:$C$73, 0))</f>
        <v>0.79852100000000004</v>
      </c>
      <c r="L68" s="7" cm="1">
        <f t="array" ref="L68">INDEX($H$65:$H$73, MATCH($J68&amp;L$56, $D$65:$D$73&amp;$C$65:$C$73, 0))</f>
        <v>0.79992799999999997</v>
      </c>
      <c r="M68" s="7" cm="1">
        <f t="array" ref="M68">INDEX($H$65:$H$73, MATCH($J68&amp;M$56, $D$65:$D$73&amp;$C$65:$C$73, 0))</f>
        <v>0.79421299999999995</v>
      </c>
    </row>
    <row r="69" spans="1:13" x14ac:dyDescent="0.2">
      <c r="A69" s="2" t="s">
        <v>13</v>
      </c>
      <c r="B69" s="2">
        <v>256</v>
      </c>
      <c r="C69" s="2">
        <v>8</v>
      </c>
      <c r="D69" s="2" t="s">
        <v>10</v>
      </c>
      <c r="E69" s="2">
        <v>4210688</v>
      </c>
      <c r="F69" s="2">
        <v>2310144</v>
      </c>
      <c r="G69" s="2">
        <v>1900544</v>
      </c>
      <c r="H69" s="2">
        <v>0.54863799999999996</v>
      </c>
    </row>
    <row r="70" spans="1:13" x14ac:dyDescent="0.2">
      <c r="A70" s="2" t="s">
        <v>13</v>
      </c>
      <c r="B70" s="2">
        <v>256</v>
      </c>
      <c r="C70" s="2">
        <v>8</v>
      </c>
      <c r="D70" s="2" t="s">
        <v>11</v>
      </c>
      <c r="E70" s="2">
        <v>4210688</v>
      </c>
      <c r="F70" s="2">
        <v>3368248</v>
      </c>
      <c r="G70" s="2">
        <v>842440</v>
      </c>
      <c r="H70" s="2">
        <v>0.79992799999999997</v>
      </c>
    </row>
    <row r="71" spans="1:13" x14ac:dyDescent="0.2">
      <c r="A71" s="2" t="s">
        <v>13</v>
      </c>
      <c r="B71" s="2">
        <v>256</v>
      </c>
      <c r="C71" s="2">
        <v>16</v>
      </c>
      <c r="D71" s="2" t="s">
        <v>9</v>
      </c>
      <c r="E71" s="2">
        <v>4210688</v>
      </c>
      <c r="F71" s="2">
        <v>2310144</v>
      </c>
      <c r="G71" s="2">
        <v>1900544</v>
      </c>
      <c r="H71" s="2">
        <v>0.54863799999999996</v>
      </c>
    </row>
    <row r="72" spans="1:13" x14ac:dyDescent="0.2">
      <c r="A72" s="2" t="s">
        <v>13</v>
      </c>
      <c r="B72" s="2">
        <v>256</v>
      </c>
      <c r="C72" s="2">
        <v>16</v>
      </c>
      <c r="D72" s="2" t="s">
        <v>10</v>
      </c>
      <c r="E72" s="2">
        <v>4210688</v>
      </c>
      <c r="F72" s="2">
        <v>2310144</v>
      </c>
      <c r="G72" s="2">
        <v>1900544</v>
      </c>
      <c r="H72" s="2">
        <v>0.54863799999999996</v>
      </c>
    </row>
    <row r="73" spans="1:13" x14ac:dyDescent="0.2">
      <c r="A73" s="2" t="s">
        <v>13</v>
      </c>
      <c r="B73" s="2">
        <v>256</v>
      </c>
      <c r="C73" s="2">
        <v>16</v>
      </c>
      <c r="D73" s="2" t="s">
        <v>11</v>
      </c>
      <c r="E73" s="2">
        <v>4210688</v>
      </c>
      <c r="F73" s="2">
        <v>3344186</v>
      </c>
      <c r="G73" s="2">
        <v>866502</v>
      </c>
      <c r="H73" s="2">
        <v>0.79421299999999995</v>
      </c>
    </row>
    <row r="74" spans="1:13" x14ac:dyDescent="0.2">
      <c r="A74" s="2" t="s">
        <v>13</v>
      </c>
      <c r="B74" s="2">
        <v>1024</v>
      </c>
      <c r="C74" s="2">
        <v>4</v>
      </c>
      <c r="D74" s="2" t="s">
        <v>9</v>
      </c>
      <c r="E74" s="2">
        <v>4210688</v>
      </c>
      <c r="F74" s="2">
        <v>1153728</v>
      </c>
      <c r="G74" s="2">
        <v>3056960</v>
      </c>
      <c r="H74" s="2">
        <v>0.27399899999999999</v>
      </c>
      <c r="J74" s="4"/>
      <c r="K74" s="5">
        <v>4</v>
      </c>
      <c r="L74" s="5">
        <v>8</v>
      </c>
      <c r="M74" s="5">
        <v>16</v>
      </c>
    </row>
    <row r="75" spans="1:13" x14ac:dyDescent="0.2">
      <c r="A75" s="2" t="s">
        <v>13</v>
      </c>
      <c r="B75" s="2">
        <v>1024</v>
      </c>
      <c r="C75" s="2">
        <v>4</v>
      </c>
      <c r="D75" s="2" t="s">
        <v>10</v>
      </c>
      <c r="E75" s="2">
        <v>4210688</v>
      </c>
      <c r="F75" s="2">
        <v>1153728</v>
      </c>
      <c r="G75" s="2">
        <v>3056960</v>
      </c>
      <c r="H75" s="2">
        <v>0.27399899999999999</v>
      </c>
      <c r="J75" s="6" t="s">
        <v>9</v>
      </c>
      <c r="K75" s="7" cm="1">
        <f t="array" ref="K75">INDEX($H$74:$H$82, MATCH($J75&amp;K$74, $D$74:$D$82&amp;$C$74:$C$82, 0))</f>
        <v>0.27399899999999999</v>
      </c>
      <c r="L75" s="7" cm="1">
        <f t="array" ref="L75">INDEX($H$74:$H$82, MATCH($J75&amp;L$74, $D$74:$D$82&amp;$C$74:$C$82, 0))</f>
        <v>0.27399899999999999</v>
      </c>
      <c r="M75" s="7" cm="1">
        <f t="array" ref="M75">INDEX($H$74:$H$82, MATCH($J75&amp;M$74, $D$74:$D$82&amp;$C$74:$C$82, 0))</f>
        <v>0.27399899999999999</v>
      </c>
    </row>
    <row r="76" spans="1:13" x14ac:dyDescent="0.2">
      <c r="A76" s="2" t="s">
        <v>13</v>
      </c>
      <c r="B76" s="2">
        <v>1024</v>
      </c>
      <c r="C76" s="2">
        <v>4</v>
      </c>
      <c r="D76" s="2" t="s">
        <v>11</v>
      </c>
      <c r="E76" s="2">
        <v>4210688</v>
      </c>
      <c r="F76" s="2">
        <v>2245597</v>
      </c>
      <c r="G76" s="2">
        <v>1965091</v>
      </c>
      <c r="H76" s="2">
        <v>0.533308</v>
      </c>
      <c r="J76" s="6" t="s">
        <v>10</v>
      </c>
      <c r="K76" s="7" cm="1">
        <f t="array" ref="K76">INDEX($H$74:$H$82, MATCH($J76&amp;K$74, $D$74:$D$82&amp;$C$74:$C$82, 0))</f>
        <v>0.27399899999999999</v>
      </c>
      <c r="L76" s="7" cm="1">
        <f t="array" ref="L76">INDEX($H$74:$H$82, MATCH($J76&amp;L$74, $D$74:$D$82&amp;$C$74:$C$82, 0))</f>
        <v>0.27399899999999999</v>
      </c>
      <c r="M76" s="7" cm="1">
        <f t="array" ref="M76">INDEX($H$74:$H$82, MATCH($J76&amp;M$74, $D$74:$D$82&amp;$C$74:$C$82, 0))</f>
        <v>0.27399899999999999</v>
      </c>
    </row>
    <row r="77" spans="1:13" x14ac:dyDescent="0.2">
      <c r="A77" s="2" t="s">
        <v>13</v>
      </c>
      <c r="B77" s="2">
        <v>1024</v>
      </c>
      <c r="C77" s="2">
        <v>8</v>
      </c>
      <c r="D77" s="2" t="s">
        <v>9</v>
      </c>
      <c r="E77" s="2">
        <v>4210688</v>
      </c>
      <c r="F77" s="2">
        <v>1153728</v>
      </c>
      <c r="G77" s="2">
        <v>3056960</v>
      </c>
      <c r="H77" s="2">
        <v>0.27399899999999999</v>
      </c>
      <c r="J77" s="6" t="s">
        <v>11</v>
      </c>
      <c r="K77" s="7" cm="1">
        <f t="array" ref="K77">INDEX($H$74:$H$82, MATCH($J77&amp;K$74, $D$74:$D$82&amp;$C$74:$C$82, 0))</f>
        <v>0.533308</v>
      </c>
      <c r="L77" s="7" cm="1">
        <f t="array" ref="L77">INDEX($H$74:$H$82, MATCH($J77&amp;L$74, $D$74:$D$82&amp;$C$74:$C$82, 0))</f>
        <v>0.533918</v>
      </c>
      <c r="M77" s="7" cm="1">
        <f t="array" ref="M77">INDEX($H$74:$H$82, MATCH($J77&amp;M$74, $D$74:$D$82&amp;$C$74:$C$82, 0))</f>
        <v>0.53210400000000002</v>
      </c>
    </row>
    <row r="78" spans="1:13" x14ac:dyDescent="0.2">
      <c r="A78" s="2" t="s">
        <v>13</v>
      </c>
      <c r="B78" s="2">
        <v>1024</v>
      </c>
      <c r="C78" s="2">
        <v>8</v>
      </c>
      <c r="D78" s="2" t="s">
        <v>10</v>
      </c>
      <c r="E78" s="2">
        <v>4210688</v>
      </c>
      <c r="F78" s="2">
        <v>1153728</v>
      </c>
      <c r="G78" s="2">
        <v>3056960</v>
      </c>
      <c r="H78" s="2">
        <v>0.27399899999999999</v>
      </c>
    </row>
    <row r="79" spans="1:13" x14ac:dyDescent="0.2">
      <c r="A79" s="2" t="s">
        <v>13</v>
      </c>
      <c r="B79" s="2">
        <v>1024</v>
      </c>
      <c r="C79" s="2">
        <v>8</v>
      </c>
      <c r="D79" s="2" t="s">
        <v>11</v>
      </c>
      <c r="E79" s="2">
        <v>4210688</v>
      </c>
      <c r="F79" s="2">
        <v>2248163</v>
      </c>
      <c r="G79" s="2">
        <v>1962525</v>
      </c>
      <c r="H79" s="2">
        <v>0.533918</v>
      </c>
    </row>
    <row r="80" spans="1:13" x14ac:dyDescent="0.2">
      <c r="A80" s="2" t="s">
        <v>13</v>
      </c>
      <c r="B80" s="2">
        <v>1024</v>
      </c>
      <c r="C80" s="2">
        <v>16</v>
      </c>
      <c r="D80" s="2" t="s">
        <v>9</v>
      </c>
      <c r="E80" s="2">
        <v>4210688</v>
      </c>
      <c r="F80" s="2">
        <v>1153728</v>
      </c>
      <c r="G80" s="2">
        <v>3056960</v>
      </c>
      <c r="H80" s="2">
        <v>0.27399899999999999</v>
      </c>
    </row>
    <row r="81" spans="1:8" x14ac:dyDescent="0.2">
      <c r="A81" s="2" t="s">
        <v>13</v>
      </c>
      <c r="B81" s="2">
        <v>1024</v>
      </c>
      <c r="C81" s="2">
        <v>16</v>
      </c>
      <c r="D81" s="2" t="s">
        <v>10</v>
      </c>
      <c r="E81" s="2">
        <v>4210688</v>
      </c>
      <c r="F81" s="2">
        <v>1153728</v>
      </c>
      <c r="G81" s="2">
        <v>3056960</v>
      </c>
      <c r="H81" s="2">
        <v>0.27399899999999999</v>
      </c>
    </row>
    <row r="82" spans="1:8" x14ac:dyDescent="0.2">
      <c r="A82" s="2" t="s">
        <v>13</v>
      </c>
      <c r="B82" s="2">
        <v>1024</v>
      </c>
      <c r="C82" s="2">
        <v>16</v>
      </c>
      <c r="D82" s="2" t="s">
        <v>11</v>
      </c>
      <c r="E82" s="2">
        <v>4210688</v>
      </c>
      <c r="F82" s="2">
        <v>2240525</v>
      </c>
      <c r="G82" s="2">
        <v>1970163</v>
      </c>
      <c r="H82" s="2">
        <v>0.53210400000000002</v>
      </c>
    </row>
  </sheetData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Andres Molina Plata</cp:lastModifiedBy>
  <dcterms:created xsi:type="dcterms:W3CDTF">2026-03-04T14:49:43Z</dcterms:created>
  <dcterms:modified xsi:type="dcterms:W3CDTF">2026-03-04T19:05:03Z</dcterms:modified>
</cp:coreProperties>
</file>